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Benefits" sheetId="2" r:id="rId2"/>
    <sheet name="Tax_Brackets" sheetId="3" r:id="rId3"/>
    <sheet name="Payroll_Run" sheetId="4" r:id="rId4"/>
  </sheets>
  <calcPr calcId="124519" fullCalcOnLoad="1"/>
</workbook>
</file>

<file path=xl/sharedStrings.xml><?xml version="1.0" encoding="utf-8"?>
<sst xmlns="http://schemas.openxmlformats.org/spreadsheetml/2006/main" count="2305" uniqueCount="739">
  <si>
    <t>Employee_ID</t>
  </si>
  <si>
    <t>First_Name</t>
  </si>
  <si>
    <t>Last_Name</t>
  </si>
  <si>
    <t>Email</t>
  </si>
  <si>
    <t>Location</t>
  </si>
  <si>
    <t>Department</t>
  </si>
  <si>
    <t>Role</t>
  </si>
  <si>
    <t>Join_Date</t>
  </si>
  <si>
    <t>Base_Salary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</si>
  <si>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</si>
  <si>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</si>
  <si>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</si>
  <si>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</si>
  <si>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</si>
  <si>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</si>
  <si>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</si>
  <si>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</si>
  <si>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</si>
  <si>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</si>
  <si>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</si>
  <si>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</si>
  <si>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</si>
  <si>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</si>
  <si>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</si>
  <si>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</si>
  <si>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</si>
  <si>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</si>
  <si>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</si>
  <si>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</si>
  <si>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</si>
  <si>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</si>
  <si>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</si>
  <si>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</si>
  <si>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</si>
  <si>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</si>
  <si>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</si>
  <si>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</si>
  <si>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</si>
  <si>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</si>
  <si>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</si>
  <si>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</si>
  <si>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</si>
  <si>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</si>
  <si>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</si>
  <si>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</si>
  <si>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</si>
  <si>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</si>
  <si>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</si>
  <si>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</si>
  <si>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</si>
  <si>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</si>
  <si>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</si>
  <si>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</si>
  <si>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</si>
  <si>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</si>
  <si>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</si>
  <si>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</si>
  <si>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</si>
  <si>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</si>
  <si>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</si>
  <si>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</si>
  <si>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</si>
  <si>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</si>
  <si>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</si>
  <si>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</si>
  <si>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</si>
  <si>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</si>
  <si>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</si>
  <si>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</si>
  <si>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</si>
  <si>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</si>
  <si>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</si>
  <si>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</si>
  <si>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</si>
  <si>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</si>
  <si>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</si>
  <si>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</si>
  <si>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</si>
  <si>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</si>
  <si>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</si>
  <si>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</si>
  <si>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</si>
  <si>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</si>
  <si>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</si>
  <si>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</si>
  <si>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</si>
  <si>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</si>
  <si>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</si>
  <si>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</si>
  <si>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</si>
  <si>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</si>
  <si>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</si>
  <si>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</si>
  <si>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</si>
  <si>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</si>
  <si>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</si>
  <si>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</si>
  <si>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</si>
  <si>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</si>
  <si>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</si>
  <si>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</si>
  <si>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</si>
  <si>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</si>
  <si>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</si>
  <si>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</si>
  <si>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</si>
  <si>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</si>
  <si>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</si>
  <si>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</si>
  <si>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</si>
  <si>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</si>
  <si>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</si>
  <si>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</si>
  <si>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</si>
  <si>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</si>
  <si>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</si>
  <si>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</si>
  <si>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</si>
  <si>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</si>
  <si>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</si>
  <si>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</si>
  <si>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</si>
  <si>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</si>
  <si>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</si>
  <si>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</si>
  <si>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</si>
  <si>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</si>
  <si>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</si>
  <si>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</si>
  <si>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</si>
  <si>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</si>
  <si>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</si>
  <si>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</si>
  <si>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</si>
  <si>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</si>
  <si>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</si>
  <si>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</si>
  <si>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</si>
  <si>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</si>
  <si>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</si>
  <si>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</si>
  <si>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</si>
  <si>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</si>
  <si>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</si>
  <si>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</si>
  <si>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</si>
  <si>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</si>
  <si>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</si>
  <si>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</si>
  <si>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</si>
  <si>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</si>
  <si>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</si>
  <si>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</si>
  <si>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</si>
  <si>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</si>
  <si>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</si>
  <si>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</si>
  <si>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</si>
  <si>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</si>
  <si>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</si>
  <si>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</si>
  <si>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</si>
  <si>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</si>
  <si>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</si>
  <si>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</si>
  <si>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</si>
  <si>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</si>
  <si>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</si>
  <si>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</si>
  <si>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</si>
  <si>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</si>
  <si>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</si>
  <si>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</si>
  <si>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</si>
  <si>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</si>
  <si>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</si>
  <si>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</si>
  <si>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</si>
  <si>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</si>
  <si>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</si>
  <si>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</si>
  <si>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</si>
  <si>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</si>
  <si>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</si>
  <si>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</si>
  <si>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</si>
  <si>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</si>
  <si>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</si>
  <si>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</si>
  <si>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</si>
  <si>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</si>
  <si>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</si>
  <si>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</si>
  <si>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</si>
  <si>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</si>
  <si>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</si>
  <si>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</si>
  <si>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</si>
  <si>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</si>
  <si>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</si>
  <si>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</si>
  <si>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</si>
  <si>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</si>
  <si>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</si>
  <si>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</si>
  <si>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</si>
  <si>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</si>
  <si>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</si>
  <si>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</si>
  <si>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</si>
  <si>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</si>
  <si>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</si>
  <si>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</si>
  <si>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</si>
  <si>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</si>
  <si>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</si>
  <si>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</si>
  <si>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</si>
  <si>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</si>
  <si>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</si>
  <si>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</si>
  <si>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</si>
  <si>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</si>
  <si>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</si>
  <si>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</si>
  <si>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</si>
  <si>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</si>
  <si>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</si>
  <si>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</si>
  <si>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</si>
  <si>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</si>
  <si>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</si>
  <si>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</si>
  <si>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</si>
  <si>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</si>
  <si>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</si>
  <si>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</si>
  <si>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</si>
  <si>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</si>
  <si>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</si>
  <si>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</si>
  <si>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</si>
  <si>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</si>
  <si>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</si>
  <si>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</si>
  <si>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</si>
  <si>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</si>
  <si>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</si>
  <si>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</si>
  <si>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</si>
  <si>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</si>
  <si>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</si>
  <si>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</si>
  <si>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</si>
  <si>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</si>
  <si>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</si>
  <si>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</si>
  <si>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</si>
  <si>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</si>
  <si>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Priya</t>
  </si>
  <si>
    <t>Jane</t>
  </si>
  <si>
    <t>Sarah</t>
  </si>
  <si>
    <t>Carlos</t>
  </si>
  <si>
    <t>David</t>
  </si>
  <si>
    <t>Daniel</t>
  </si>
  <si>
    <t>Emma</t>
  </si>
  <si>
    <t>Sneha</t>
  </si>
  <si>
    <t>Chris</t>
  </si>
  <si>
    <t>Laura</t>
  </si>
  <si>
    <t>John</t>
  </si>
  <si>
    <t>Raj</t>
  </si>
  <si>
    <t>Michael</t>
  </si>
  <si>
    <t>Amit</t>
  </si>
  <si>
    <t>Olivia</t>
  </si>
  <si>
    <t>Liam</t>
  </si>
  <si>
    <t>Emily</t>
  </si>
  <si>
    <t>Maria</t>
  </si>
  <si>
    <t>Miller</t>
  </si>
  <si>
    <t>Anderson</t>
  </si>
  <si>
    <t>Garcia</t>
  </si>
  <si>
    <t>Sharma</t>
  </si>
  <si>
    <t>Davis</t>
  </si>
  <si>
    <t>Johnson</t>
  </si>
  <si>
    <t>Smith</t>
  </si>
  <si>
    <t>Taylor</t>
  </si>
  <si>
    <t>Lee</t>
  </si>
  <si>
    <t>Perez</t>
  </si>
  <si>
    <t>Jones</t>
  </si>
  <si>
    <t>Moore</t>
  </si>
  <si>
    <t>Patel</t>
  </si>
  <si>
    <t>Williams</t>
  </si>
  <si>
    <t>Brown</t>
  </si>
  <si>
    <t>Thomas</t>
  </si>
  <si>
    <t>priya.miller@company.com</t>
  </si>
  <si>
    <t>jane.anderson@company.com</t>
  </si>
  <si>
    <t>sarah.garcia@company.com</t>
  </si>
  <si>
    <t>carlos.sharma@company.com</t>
  </si>
  <si>
    <t>david.miller@company.com</t>
  </si>
  <si>
    <t>daniel.davis@company.com</t>
  </si>
  <si>
    <t>emma.johnson@company.com</t>
  </si>
  <si>
    <t>sneha.smith@company.com</t>
  </si>
  <si>
    <t>chris.taylor@company.com</t>
  </si>
  <si>
    <t>daniel.lee@company.com</t>
  </si>
  <si>
    <t>emma.lee@company.com</t>
  </si>
  <si>
    <t>laura.garcia@company.com</t>
  </si>
  <si>
    <t>john.lee@company.com</t>
  </si>
  <si>
    <t>raj.lee@company.com</t>
  </si>
  <si>
    <t>michael.sharma@company.com</t>
  </si>
  <si>
    <t>raj.perez@company.com</t>
  </si>
  <si>
    <t>sarah.jones@company.com</t>
  </si>
  <si>
    <t>carlos.smith@company.com</t>
  </si>
  <si>
    <t>raj.moore@company.com</t>
  </si>
  <si>
    <t>laura.davis@company.com</t>
  </si>
  <si>
    <t>laura.moore@company.com</t>
  </si>
  <si>
    <t>emma.davis@company.com</t>
  </si>
  <si>
    <t>priya.patel@company.com</t>
  </si>
  <si>
    <t>carlos.johnson@company.com</t>
  </si>
  <si>
    <t>michael.smith@company.com</t>
  </si>
  <si>
    <t>daniel.garcia@company.com</t>
  </si>
  <si>
    <t>amit.johnson@company.com</t>
  </si>
  <si>
    <t>laura.williams@company.com</t>
  </si>
  <si>
    <t>priya.garcia@company.com</t>
  </si>
  <si>
    <t>olivia.taylor@company.com</t>
  </si>
  <si>
    <t>liam.perez@company.com</t>
  </si>
  <si>
    <t>olivia.smith@company.com</t>
  </si>
  <si>
    <t>amit.smith@company.com</t>
  </si>
  <si>
    <t>chris.brown@company.com</t>
  </si>
  <si>
    <t>laura.perez@company.com</t>
  </si>
  <si>
    <t>carlos.lee@company.com</t>
  </si>
  <si>
    <t>priya.smith@company.com</t>
  </si>
  <si>
    <t>carlos.taylor@company.com</t>
  </si>
  <si>
    <t>chris.jones@company.com</t>
  </si>
  <si>
    <t>priya.anderson@company.com</t>
  </si>
  <si>
    <t>chris.moore@company.com</t>
  </si>
  <si>
    <t>olivia.lee@company.com</t>
  </si>
  <si>
    <t>michael.perez@company.com</t>
  </si>
  <si>
    <t>emily.jones@company.com</t>
  </si>
  <si>
    <t>amit.lee@company.com</t>
  </si>
  <si>
    <t>david.lee@company.com</t>
  </si>
  <si>
    <t>michael.patel@company.com</t>
  </si>
  <si>
    <t>chris.lee@company.com</t>
  </si>
  <si>
    <t>michael.taylor@company.com</t>
  </si>
  <si>
    <t>amit.thomas@company.com</t>
  </si>
  <si>
    <t>michael.garcia@company.com</t>
  </si>
  <si>
    <t>sneha.miller@company.com</t>
  </si>
  <si>
    <t>carlos.thomas@company.com</t>
  </si>
  <si>
    <t>liam.thomas@company.com</t>
  </si>
  <si>
    <t>john.patel@company.com</t>
  </si>
  <si>
    <t>priya.johnson@company.com</t>
  </si>
  <si>
    <t>emily.davis@company.com</t>
  </si>
  <si>
    <t>raj.garcia@company.com</t>
  </si>
  <si>
    <t>sarah.smith@company.com</t>
  </si>
  <si>
    <t>john.perez@company.com</t>
  </si>
  <si>
    <t>olivia.brown@company.com</t>
  </si>
  <si>
    <t>sarah.brown@company.com</t>
  </si>
  <si>
    <t>priya.williams@company.com</t>
  </si>
  <si>
    <t>liam.brown@company.com</t>
  </si>
  <si>
    <t>jane.jones@company.com</t>
  </si>
  <si>
    <t>daniel.anderson@company.com</t>
  </si>
  <si>
    <t>michael.miller@company.com</t>
  </si>
  <si>
    <t>raj.miller@company.com</t>
  </si>
  <si>
    <t>amit.davis@company.com</t>
  </si>
  <si>
    <t>jane.taylor@company.com</t>
  </si>
  <si>
    <t>olivia.williams@company.com</t>
  </si>
  <si>
    <t>david.perez@company.com</t>
  </si>
  <si>
    <t>laura.smith@company.com</t>
  </si>
  <si>
    <t>liam.williams@company.com</t>
  </si>
  <si>
    <t>maria.miller@company.com</t>
  </si>
  <si>
    <t>david.brown@company.com</t>
  </si>
  <si>
    <t>sneha.sharma@company.com</t>
  </si>
  <si>
    <t>chris.johnson@company.com</t>
  </si>
  <si>
    <t>raj.thomas@company.com</t>
  </si>
  <si>
    <t>john.jones@company.com</t>
  </si>
  <si>
    <t>raj.sharma@company.com</t>
  </si>
  <si>
    <t>emma.miller@company.com</t>
  </si>
  <si>
    <t>chris.davis@company.com</t>
  </si>
  <si>
    <t>emma.anderson@company.com</t>
  </si>
  <si>
    <t>carlos.garcia@company.com</t>
  </si>
  <si>
    <t>liam.taylor@company.com</t>
  </si>
  <si>
    <t>daniel.thomas@company.com</t>
  </si>
  <si>
    <t>priya.lee@company.com</t>
  </si>
  <si>
    <t>raj.williams@company.com</t>
  </si>
  <si>
    <t>emily.lee@company.com</t>
  </si>
  <si>
    <t>chris.anderson@company.com</t>
  </si>
  <si>
    <t>sarah.anderson@company.com</t>
  </si>
  <si>
    <t>daniel.williams@company.com</t>
  </si>
  <si>
    <t>raj.patel@company.com</t>
  </si>
  <si>
    <t>maria.anderson@company.com</t>
  </si>
  <si>
    <t>amit.jones@company.com</t>
  </si>
  <si>
    <t>sarah.taylor@company.com</t>
  </si>
  <si>
    <t>john.miller@company.com</t>
  </si>
  <si>
    <t>david.jones@company.com</t>
  </si>
  <si>
    <t>emily.perez@company.com</t>
  </si>
  <si>
    <t>carlos.davis@company.com</t>
  </si>
  <si>
    <t>olivia.perez@company.com</t>
  </si>
  <si>
    <t>raj.taylor@company.com</t>
  </si>
  <si>
    <t>david.sharma@company.com</t>
  </si>
  <si>
    <t>maria.taylor@company.com</t>
  </si>
  <si>
    <t>chris.thomas@company.com</t>
  </si>
  <si>
    <t>john.taylor@company.com</t>
  </si>
  <si>
    <t>david.garcia@company.com</t>
  </si>
  <si>
    <t>olivia.miller@company.com</t>
  </si>
  <si>
    <t>carlos.brown@company.com</t>
  </si>
  <si>
    <t>laura.thomas@company.com</t>
  </si>
  <si>
    <t>jane.brown@company.com</t>
  </si>
  <si>
    <t>sneha.lee@company.com</t>
  </si>
  <si>
    <t>emily.brown@company.com</t>
  </si>
  <si>
    <t>emma.patel@company.com</t>
  </si>
  <si>
    <t>sneha.taylor@company.com</t>
  </si>
  <si>
    <t>sneha.moore@company.com</t>
  </si>
  <si>
    <t>maria.smith@company.com</t>
  </si>
  <si>
    <t>emma.moore@company.com</t>
  </si>
  <si>
    <t>david.johnson@company.com</t>
  </si>
  <si>
    <t>laura.jones@company.com</t>
  </si>
  <si>
    <t>sneha.williams@company.com</t>
  </si>
  <si>
    <t>priya.perez@company.com</t>
  </si>
  <si>
    <t>liam.smith@company.com</t>
  </si>
  <si>
    <t>priya.brown@company.com</t>
  </si>
  <si>
    <t>emily.johnson@company.com</t>
  </si>
  <si>
    <t>liam.sharma@company.com</t>
  </si>
  <si>
    <t>carlos.moore@company.com</t>
  </si>
  <si>
    <t>jane.patel@company.com</t>
  </si>
  <si>
    <t>amit.taylor@company.com</t>
  </si>
  <si>
    <t>laura.brown@company.com</t>
  </si>
  <si>
    <t>emily.taylor@company.com</t>
  </si>
  <si>
    <t>chris.patel@company.com</t>
  </si>
  <si>
    <t>priya.davis@company.com</t>
  </si>
  <si>
    <t>chris.smith@company.com</t>
  </si>
  <si>
    <t>john.johnson@company.com</t>
  </si>
  <si>
    <t>amit.williams@company.com</t>
  </si>
  <si>
    <t>daniel.perez@company.com</t>
  </si>
  <si>
    <t>john.anderson@company.com</t>
  </si>
  <si>
    <t>chris.williams@company.com</t>
  </si>
  <si>
    <t>jane.lee@company.com</t>
  </si>
  <si>
    <t>carlos.perez@company.com</t>
  </si>
  <si>
    <t>john.garcia@company.com</t>
  </si>
  <si>
    <t>david.davis@company.com</t>
  </si>
  <si>
    <t>olivia.patel@company.com</t>
  </si>
  <si>
    <t>amit.brown@company.com</t>
  </si>
  <si>
    <t>sarah.johnson@company.com</t>
  </si>
  <si>
    <t>sneha.thomas@company.com</t>
  </si>
  <si>
    <t>priya.taylor@company.com</t>
  </si>
  <si>
    <t>jane.sharma@company.com</t>
  </si>
  <si>
    <t>michael.moore@company.com</t>
  </si>
  <si>
    <t>sneha.brown@company.com</t>
  </si>
  <si>
    <t>carlos.patel@company.com</t>
  </si>
  <si>
    <t>raj.anderson@company.com</t>
  </si>
  <si>
    <t>michael.anderson@company.com</t>
  </si>
  <si>
    <t>liam.garcia@company.com</t>
  </si>
  <si>
    <t>daniel.jones@company.com</t>
  </si>
  <si>
    <t>amit.anderson@company.com</t>
  </si>
  <si>
    <t>daniel.taylor@company.com</t>
  </si>
  <si>
    <t>sneha.garcia@company.com</t>
  </si>
  <si>
    <t>michael.williams@company.com</t>
  </si>
  <si>
    <t>laura.johnson@company.com</t>
  </si>
  <si>
    <t>emily.garcia@company.com</t>
  </si>
  <si>
    <t>emma.taylor@company.com</t>
  </si>
  <si>
    <t>john.smith@company.com</t>
  </si>
  <si>
    <t>jane.smith@company.com</t>
  </si>
  <si>
    <t>amit.perez@company.com</t>
  </si>
  <si>
    <t>amit.miller@company.com</t>
  </si>
  <si>
    <t>jane.johnson@company.com</t>
  </si>
  <si>
    <t>emma.perez@company.com</t>
  </si>
  <si>
    <t>laura.sharma@company.com</t>
  </si>
  <si>
    <t>sarah.patel@company.com</t>
  </si>
  <si>
    <t>emily.smith@company.com</t>
  </si>
  <si>
    <t>olivia.moore@company.com</t>
  </si>
  <si>
    <t>raj.davis@company.com</t>
  </si>
  <si>
    <t>New York, NY</t>
  </si>
  <si>
    <t>Mumbai, IN</t>
  </si>
  <si>
    <t>Austin, TX</t>
  </si>
  <si>
    <t>San Francisco, CA</t>
  </si>
  <si>
    <t>Remote</t>
  </si>
  <si>
    <t>London, UK</t>
  </si>
  <si>
    <t>Chicago, IL</t>
  </si>
  <si>
    <t>Finance</t>
  </si>
  <si>
    <t>Data Science</t>
  </si>
  <si>
    <t>HR</t>
  </si>
  <si>
    <t>Sales</t>
  </si>
  <si>
    <t>Engineering</t>
  </si>
  <si>
    <t>Marketing</t>
  </si>
  <si>
    <t>Director</t>
  </si>
  <si>
    <t>Manager</t>
  </si>
  <si>
    <t>Senior</t>
  </si>
  <si>
    <t>Lead</t>
  </si>
  <si>
    <t>Junior</t>
  </si>
  <si>
    <t>2019-06-04</t>
  </si>
  <si>
    <t>2022-01-08</t>
  </si>
  <si>
    <t>2018-02-11</t>
  </si>
  <si>
    <t>2018-10-03</t>
  </si>
  <si>
    <t>2020-02-19</t>
  </si>
  <si>
    <t>2019-03-09</t>
  </si>
  <si>
    <t>2023-04-01</t>
  </si>
  <si>
    <t>2021-11-07</t>
  </si>
  <si>
    <t>2019-05-28</t>
  </si>
  <si>
    <t>2019-08-07</t>
  </si>
  <si>
    <t>2019-02-08</t>
  </si>
  <si>
    <t>2023-02-18</t>
  </si>
  <si>
    <t>2023-12-02</t>
  </si>
  <si>
    <t>2019-05-26</t>
  </si>
  <si>
    <t>2021-06-29</t>
  </si>
  <si>
    <t>2018-08-13</t>
  </si>
  <si>
    <t>2022-01-22</t>
  </si>
  <si>
    <t>2023-04-03</t>
  </si>
  <si>
    <t>2020-07-26</t>
  </si>
  <si>
    <t>2020-10-05</t>
  </si>
  <si>
    <t>2023-03-09</t>
  </si>
  <si>
    <t>2024-09-22</t>
  </si>
  <si>
    <t>2021-06-19</t>
  </si>
  <si>
    <t>2020-01-08</t>
  </si>
  <si>
    <t>2021-05-16</t>
  </si>
  <si>
    <t>2024-01-19</t>
  </si>
  <si>
    <t>2018-07-17</t>
  </si>
  <si>
    <t>2022-02-13</t>
  </si>
  <si>
    <t>2024-04-14</t>
  </si>
  <si>
    <t>2022-08-18</t>
  </si>
  <si>
    <t>2019-03-07</t>
  </si>
  <si>
    <t>2023-09-10</t>
  </si>
  <si>
    <t>2024-03-23</t>
  </si>
  <si>
    <t>2021-12-30</t>
  </si>
  <si>
    <t>2023-11-08</t>
  </si>
  <si>
    <t>2020-10-08</t>
  </si>
  <si>
    <t>2022-08-09</t>
  </si>
  <si>
    <t>2022-02-16</t>
  </si>
  <si>
    <t>2023-11-03</t>
  </si>
  <si>
    <t>2019-01-18</t>
  </si>
  <si>
    <t>2021-12-15</t>
  </si>
  <si>
    <t>2024-04-16</t>
  </si>
  <si>
    <t>2022-01-02</t>
  </si>
  <si>
    <t>2020-04-17</t>
  </si>
  <si>
    <t>2021-09-19</t>
  </si>
  <si>
    <t>2024-08-31</t>
  </si>
  <si>
    <t>2019-07-09</t>
  </si>
  <si>
    <t>2023-07-16</t>
  </si>
  <si>
    <t>2018-06-23</t>
  </si>
  <si>
    <t>2019-05-25</t>
  </si>
  <si>
    <t>2020-11-25</t>
  </si>
  <si>
    <t>2023-10-08</t>
  </si>
  <si>
    <t>2020-05-19</t>
  </si>
  <si>
    <t>2018-01-07</t>
  </si>
  <si>
    <t>2024-04-09</t>
  </si>
  <si>
    <t>2020-05-03</t>
  </si>
  <si>
    <t>2022-12-02</t>
  </si>
  <si>
    <t>2021-01-17</t>
  </si>
  <si>
    <t>2022-08-16</t>
  </si>
  <si>
    <t>2019-06-01</t>
  </si>
  <si>
    <t>2022-02-04</t>
  </si>
  <si>
    <t>2023-09-15</t>
  </si>
  <si>
    <t>2019-11-20</t>
  </si>
  <si>
    <t>2018-06-22</t>
  </si>
  <si>
    <t>2024-07-11</t>
  </si>
  <si>
    <t>2023-01-26</t>
  </si>
  <si>
    <t>2020-04-01</t>
  </si>
  <si>
    <t>2020-11-28</t>
  </si>
  <si>
    <t>2019-09-22</t>
  </si>
  <si>
    <t>2021-03-06</t>
  </si>
  <si>
    <t>2024-08-02</t>
  </si>
  <si>
    <t>2022-01-05</t>
  </si>
  <si>
    <t>2024-07-27</t>
  </si>
  <si>
    <t>2023-12-26</t>
  </si>
  <si>
    <t>2023-12-13</t>
  </si>
  <si>
    <t>2022-05-31</t>
  </si>
  <si>
    <t>2020-01-28</t>
  </si>
  <si>
    <t>2023-09-19</t>
  </si>
  <si>
    <t>2024-09-19</t>
  </si>
  <si>
    <t>2020-06-10</t>
  </si>
  <si>
    <t>2022-03-03</t>
  </si>
  <si>
    <t>2024-05-13</t>
  </si>
  <si>
    <t>2018-11-15</t>
  </si>
  <si>
    <t>2018-12-15</t>
  </si>
  <si>
    <t>2020-08-18</t>
  </si>
  <si>
    <t>2019-09-25</t>
  </si>
  <si>
    <t>2021-02-26</t>
  </si>
  <si>
    <t>2018-08-24</t>
  </si>
  <si>
    <t>2019-06-02</t>
  </si>
  <si>
    <t>2018-05-08</t>
  </si>
  <si>
    <t>2023-02-11</t>
  </si>
  <si>
    <t>2018-01-05</t>
  </si>
  <si>
    <t>2022-08-06</t>
  </si>
  <si>
    <t>2024-02-09</t>
  </si>
  <si>
    <t>2022-12-22</t>
  </si>
  <si>
    <t>2019-11-12</t>
  </si>
  <si>
    <t>2018-06-30</t>
  </si>
  <si>
    <t>2023-10-31</t>
  </si>
  <si>
    <t>2019-04-01</t>
  </si>
  <si>
    <t>2019-10-21</t>
  </si>
  <si>
    <t>2021-05-04</t>
  </si>
  <si>
    <t>2019-07-01</t>
  </si>
  <si>
    <t>2020-06-07</t>
  </si>
  <si>
    <t>2024-02-15</t>
  </si>
  <si>
    <t>2020-01-30</t>
  </si>
  <si>
    <t>2018-08-02</t>
  </si>
  <si>
    <t>2024-07-22</t>
  </si>
  <si>
    <t>2022-06-26</t>
  </si>
  <si>
    <t>2020-08-07</t>
  </si>
  <si>
    <t>2021-06-21</t>
  </si>
  <si>
    <t>2020-04-11</t>
  </si>
  <si>
    <t>2023-10-16</t>
  </si>
  <si>
    <t>2021-08-24</t>
  </si>
  <si>
    <t>2021-11-04</t>
  </si>
  <si>
    <t>2021-09-17</t>
  </si>
  <si>
    <t>2020-01-14</t>
  </si>
  <si>
    <t>2019-05-06</t>
  </si>
  <si>
    <t>2019-07-06</t>
  </si>
  <si>
    <t>2019-09-09</t>
  </si>
  <si>
    <t>2022-03-22</t>
  </si>
  <si>
    <t>2019-02-14</t>
  </si>
  <si>
    <t>2023-05-26</t>
  </si>
  <si>
    <t>2023-07-08</t>
  </si>
  <si>
    <t>2018-12-18</t>
  </si>
  <si>
    <t>2021-08-18</t>
  </si>
  <si>
    <t>2018-08-18</t>
  </si>
  <si>
    <t>2023-05-03</t>
  </si>
  <si>
    <t>2020-07-05</t>
  </si>
  <si>
    <t>2018-10-19</t>
  </si>
  <si>
    <t>2019-07-20</t>
  </si>
  <si>
    <t>2018-11-11</t>
  </si>
  <si>
    <t>2021-11-20</t>
  </si>
  <si>
    <t>2019-02-13</t>
  </si>
  <si>
    <t>2024-08-17</t>
  </si>
  <si>
    <t>2020-11-24</t>
  </si>
  <si>
    <t>2022-02-22</t>
  </si>
  <si>
    <t>2022-07-30</t>
  </si>
  <si>
    <t>2023-07-31</t>
  </si>
  <si>
    <t>2023-12-04</t>
  </si>
  <si>
    <t>2024-04-26</t>
  </si>
  <si>
    <t>2021-02-14</t>
  </si>
  <si>
    <t>2023-05-18</t>
  </si>
  <si>
    <t>2020-12-31</t>
  </si>
  <si>
    <t>2021-05-08</t>
  </si>
  <si>
    <t>2018-02-05</t>
  </si>
  <si>
    <t>2021-10-17</t>
  </si>
  <si>
    <t>2022-09-25</t>
  </si>
  <si>
    <t>2023-05-13</t>
  </si>
  <si>
    <t>2019-05-31</t>
  </si>
  <si>
    <t>2023-06-24</t>
  </si>
  <si>
    <t>2020-10-27</t>
  </si>
  <si>
    <t>2021-11-12</t>
  </si>
  <si>
    <t>2020-04-29</t>
  </si>
  <si>
    <t>2020-12-27</t>
  </si>
  <si>
    <t>2022-10-15</t>
  </si>
  <si>
    <t>2022-01-31</t>
  </si>
  <si>
    <t>2023-01-21</t>
  </si>
  <si>
    <t>2020-11-12</t>
  </si>
  <si>
    <t>2021-02-24</t>
  </si>
  <si>
    <t>2021-05-13</t>
  </si>
  <si>
    <t>2022-11-06</t>
  </si>
  <si>
    <t>2019-04-21</t>
  </si>
  <si>
    <t>2018-05-02</t>
  </si>
  <si>
    <t>2023-05-14</t>
  </si>
  <si>
    <t>2023-07-09</t>
  </si>
  <si>
    <t>2020-07-04</t>
  </si>
  <si>
    <t>2021-01-13</t>
  </si>
  <si>
    <t>2022-11-08</t>
  </si>
  <si>
    <t>2022-05-07</t>
  </si>
  <si>
    <t>2023-03-31</t>
  </si>
  <si>
    <t>2020-12-11</t>
  </si>
  <si>
    <t>2019-02-21</t>
  </si>
  <si>
    <t>2021-09-20</t>
  </si>
  <si>
    <t>2022-11-21</t>
  </si>
  <si>
    <t>2022-10-29</t>
  </si>
  <si>
    <t>2023-08-26</t>
  </si>
  <si>
    <t>2024-09-23</t>
  </si>
  <si>
    <t>2021-09-29</t>
  </si>
  <si>
    <t>2018-10-05</t>
  </si>
  <si>
    <t>2021-10-02</t>
  </si>
  <si>
    <t>2023-01-15</t>
  </si>
  <si>
    <t>2018-01-22</t>
  </si>
  <si>
    <t>2024-05-06</t>
  </si>
  <si>
    <t>2021-10-18</t>
  </si>
  <si>
    <t>2021-10-14</t>
  </si>
  <si>
    <t>2019-12-23</t>
  </si>
  <si>
    <t>2022-05-15</t>
  </si>
  <si>
    <t>2021-08-15</t>
  </si>
  <si>
    <t>2019-10-01</t>
  </si>
  <si>
    <t>2024-09-15</t>
  </si>
  <si>
    <t>2019-06-16</t>
  </si>
  <si>
    <t>2020-05-21</t>
  </si>
  <si>
    <t>2021-09-15</t>
  </si>
  <si>
    <t>2022-08-20</t>
  </si>
  <si>
    <t>2021-08-06</t>
  </si>
  <si>
    <t>2024-05-10</t>
  </si>
  <si>
    <t>2019-01-10</t>
  </si>
  <si>
    <t>2024-10-12</t>
  </si>
  <si>
    <t>2021-07-28</t>
  </si>
  <si>
    <t>2021-05-30</t>
  </si>
  <si>
    <t>2019-08-05</t>
  </si>
  <si>
    <t>2021-12-28</t>
  </si>
  <si>
    <t>2023-10-20</t>
  </si>
  <si>
    <t>2024-03-07</t>
  </si>
  <si>
    <t>2020-08-28</t>
  </si>
  <si>
    <t>2018-10-14</t>
  </si>
  <si>
    <t>2020-02-18</t>
  </si>
  <si>
    <t>2022-12-12</t>
  </si>
  <si>
    <t>2023-02-17</t>
  </si>
  <si>
    <t>2019-10-18</t>
  </si>
  <si>
    <t>2018-12-11</t>
  </si>
  <si>
    <t>2022-03-02</t>
  </si>
  <si>
    <t>2019-02-06</t>
  </si>
  <si>
    <t>2020-05-09</t>
  </si>
  <si>
    <t>2023-08-04</t>
  </si>
  <si>
    <t>2021-12-11</t>
  </si>
  <si>
    <t>2020-04-30</t>
  </si>
  <si>
    <t>2018-05-18</t>
  </si>
  <si>
    <t>2019-10-28</t>
  </si>
  <si>
    <t>2018-07-04</t>
  </si>
  <si>
    <t>2022-12-04</t>
  </si>
  <si>
    <t>2023-06-08</t>
  </si>
  <si>
    <t>2021-11-09</t>
  </si>
  <si>
    <t>2020-11-11</t>
  </si>
  <si>
    <t>2022-09-23</t>
  </si>
  <si>
    <t>2021-02-08</t>
  </si>
  <si>
    <t>2019-05-07</t>
  </si>
  <si>
    <t>2018-10-18</t>
  </si>
  <si>
    <t>2018-12-14</t>
  </si>
  <si>
    <t>2021-08-04</t>
  </si>
  <si>
    <t>2020-10-04</t>
  </si>
  <si>
    <t>2021-03-27</t>
  </si>
  <si>
    <t>2021-06-10</t>
  </si>
  <si>
    <t>2019-01-06</t>
  </si>
  <si>
    <t>2021-09-09</t>
  </si>
  <si>
    <t>2019-10-27</t>
  </si>
  <si>
    <t>2020-08-15</t>
  </si>
  <si>
    <t>2022-09-27</t>
  </si>
  <si>
    <t>2021-05-22</t>
  </si>
  <si>
    <t>Health_Ins_Cost</t>
  </si>
  <si>
    <t>PF_Percentage</t>
  </si>
  <si>
    <t>Min_Income</t>
  </si>
  <si>
    <t>Max_Income</t>
  </si>
  <si>
    <t>Base_Tax</t>
  </si>
  <si>
    <t>Marginal_Rate</t>
  </si>
  <si>
    <t>Perf_Score</t>
  </si>
  <si>
    <t>OT_Hours</t>
  </si>
  <si>
    <t>Role_F</t>
  </si>
  <si>
    <t>Base_Salary_F</t>
  </si>
  <si>
    <t>Gross_Salary_F</t>
  </si>
  <si>
    <t>Health_Deduct_F</t>
  </si>
  <si>
    <t>Tax_Rate_F</t>
  </si>
  <si>
    <t>Net_Salary_F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</si>
</sst>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cols>
    <col min="1" max="26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 t="s">
        <v>277</v>
      </c>
      <c r="D2" t="s">
        <v>293</v>
      </c>
      <c r="E2" t="s">
        <v>468</v>
      </c>
      <c r="F2" t="s">
        <v>475</v>
      </c>
      <c r="G2" t="s">
        <v>481</v>
      </c>
      <c r="H2" t="s">
        <v>486</v>
      </c>
      <c r="I2">
        <v>217394</v>
      </c>
    </row>
    <row r="3" spans="1:9">
      <c r="A3" t="s">
        <v>10</v>
      </c>
      <c r="B3" t="s">
        <v>260</v>
      </c>
      <c r="C3" t="s">
        <v>278</v>
      </c>
      <c r="D3" t="s">
        <v>294</v>
      </c>
      <c r="E3" t="s">
        <v>469</v>
      </c>
      <c r="F3" t="s">
        <v>476</v>
      </c>
      <c r="G3" t="s">
        <v>482</v>
      </c>
      <c r="H3" t="s">
        <v>487</v>
      </c>
      <c r="I3">
        <v>155781</v>
      </c>
    </row>
    <row r="4" spans="1:9">
      <c r="A4" t="s">
        <v>11</v>
      </c>
      <c r="B4" t="s">
        <v>261</v>
      </c>
      <c r="C4" t="s">
        <v>279</v>
      </c>
      <c r="D4" t="s">
        <v>295</v>
      </c>
      <c r="E4" t="s">
        <v>470</v>
      </c>
      <c r="F4" t="s">
        <v>477</v>
      </c>
      <c r="G4" t="s">
        <v>481</v>
      </c>
      <c r="H4" t="s">
        <v>488</v>
      </c>
      <c r="I4">
        <v>228977</v>
      </c>
    </row>
    <row r="5" spans="1:9">
      <c r="A5" t="s">
        <v>12</v>
      </c>
      <c r="B5" t="s">
        <v>262</v>
      </c>
      <c r="C5" t="s">
        <v>280</v>
      </c>
      <c r="D5" t="s">
        <v>296</v>
      </c>
      <c r="E5" t="s">
        <v>471</v>
      </c>
      <c r="F5" t="s">
        <v>478</v>
      </c>
      <c r="G5" t="s">
        <v>483</v>
      </c>
      <c r="H5" t="s">
        <v>489</v>
      </c>
      <c r="I5">
        <v>86350</v>
      </c>
    </row>
    <row r="6" spans="1:9">
      <c r="A6" t="s">
        <v>13</v>
      </c>
      <c r="B6" t="s">
        <v>263</v>
      </c>
      <c r="C6" t="s">
        <v>277</v>
      </c>
      <c r="D6" t="s">
        <v>297</v>
      </c>
      <c r="E6" t="s">
        <v>469</v>
      </c>
      <c r="F6" t="s">
        <v>475</v>
      </c>
      <c r="G6" t="s">
        <v>484</v>
      </c>
      <c r="H6" t="s">
        <v>490</v>
      </c>
      <c r="I6">
        <v>122767</v>
      </c>
    </row>
    <row r="7" spans="1:9">
      <c r="A7" t="s">
        <v>14</v>
      </c>
      <c r="B7" t="s">
        <v>264</v>
      </c>
      <c r="C7" t="s">
        <v>281</v>
      </c>
      <c r="D7" t="s">
        <v>298</v>
      </c>
      <c r="E7" t="s">
        <v>471</v>
      </c>
      <c r="F7" t="s">
        <v>475</v>
      </c>
      <c r="G7" t="s">
        <v>484</v>
      </c>
      <c r="H7" t="s">
        <v>491</v>
      </c>
      <c r="I7">
        <v>107479</v>
      </c>
    </row>
    <row r="8" spans="1:9">
      <c r="A8" t="s">
        <v>15</v>
      </c>
      <c r="B8" t="s">
        <v>265</v>
      </c>
      <c r="C8" t="s">
        <v>282</v>
      </c>
      <c r="D8" t="s">
        <v>299</v>
      </c>
      <c r="E8" t="s">
        <v>472</v>
      </c>
      <c r="F8" t="s">
        <v>475</v>
      </c>
      <c r="G8" t="s">
        <v>485</v>
      </c>
      <c r="H8" t="s">
        <v>492</v>
      </c>
      <c r="I8">
        <v>60137</v>
      </c>
    </row>
    <row r="9" spans="1:9">
      <c r="A9" t="s">
        <v>16</v>
      </c>
      <c r="B9" t="s">
        <v>266</v>
      </c>
      <c r="C9" t="s">
        <v>283</v>
      </c>
      <c r="D9" t="s">
        <v>300</v>
      </c>
      <c r="E9" t="s">
        <v>470</v>
      </c>
      <c r="F9" t="s">
        <v>476</v>
      </c>
      <c r="G9" t="s">
        <v>481</v>
      </c>
      <c r="H9" t="s">
        <v>493</v>
      </c>
      <c r="I9">
        <v>247315</v>
      </c>
    </row>
    <row r="10" spans="1:9">
      <c r="A10" t="s">
        <v>17</v>
      </c>
      <c r="B10" t="s">
        <v>267</v>
      </c>
      <c r="C10" t="s">
        <v>284</v>
      </c>
      <c r="D10" t="s">
        <v>301</v>
      </c>
      <c r="E10" t="s">
        <v>472</v>
      </c>
      <c r="F10" t="s">
        <v>478</v>
      </c>
      <c r="G10" t="s">
        <v>485</v>
      </c>
      <c r="H10" t="s">
        <v>494</v>
      </c>
      <c r="I10">
        <v>59428</v>
      </c>
    </row>
    <row r="11" spans="1:9">
      <c r="A11" t="s">
        <v>18</v>
      </c>
      <c r="B11" t="s">
        <v>264</v>
      </c>
      <c r="C11" t="s">
        <v>285</v>
      </c>
      <c r="D11" t="s">
        <v>302</v>
      </c>
      <c r="E11" t="s">
        <v>469</v>
      </c>
      <c r="F11" t="s">
        <v>475</v>
      </c>
      <c r="G11" t="s">
        <v>485</v>
      </c>
      <c r="H11" t="s">
        <v>495</v>
      </c>
      <c r="I11">
        <v>53660</v>
      </c>
    </row>
    <row r="12" spans="1:9">
      <c r="A12" t="s">
        <v>19</v>
      </c>
      <c r="B12" t="s">
        <v>265</v>
      </c>
      <c r="C12" t="s">
        <v>285</v>
      </c>
      <c r="D12" t="s">
        <v>303</v>
      </c>
      <c r="E12" t="s">
        <v>471</v>
      </c>
      <c r="F12" t="s">
        <v>477</v>
      </c>
      <c r="G12" t="s">
        <v>485</v>
      </c>
      <c r="H12" t="s">
        <v>496</v>
      </c>
      <c r="I12">
        <v>50341</v>
      </c>
    </row>
    <row r="13" spans="1:9">
      <c r="A13" t="s">
        <v>20</v>
      </c>
      <c r="B13" t="s">
        <v>268</v>
      </c>
      <c r="C13" t="s">
        <v>279</v>
      </c>
      <c r="D13" t="s">
        <v>304</v>
      </c>
      <c r="E13" t="s">
        <v>473</v>
      </c>
      <c r="F13" t="s">
        <v>479</v>
      </c>
      <c r="G13" t="s">
        <v>483</v>
      </c>
      <c r="H13" t="s">
        <v>497</v>
      </c>
      <c r="I13">
        <v>95200</v>
      </c>
    </row>
    <row r="14" spans="1:9">
      <c r="A14" t="s">
        <v>21</v>
      </c>
      <c r="B14" t="s">
        <v>269</v>
      </c>
      <c r="C14" t="s">
        <v>285</v>
      </c>
      <c r="D14" t="s">
        <v>305</v>
      </c>
      <c r="E14" t="s">
        <v>471</v>
      </c>
      <c r="F14" t="s">
        <v>478</v>
      </c>
      <c r="G14" t="s">
        <v>485</v>
      </c>
      <c r="H14" t="s">
        <v>498</v>
      </c>
      <c r="I14">
        <v>53796</v>
      </c>
    </row>
    <row r="15" spans="1:9">
      <c r="A15" t="s">
        <v>22</v>
      </c>
      <c r="B15" t="s">
        <v>259</v>
      </c>
      <c r="C15" t="s">
        <v>277</v>
      </c>
      <c r="D15" t="s">
        <v>293</v>
      </c>
      <c r="E15" t="s">
        <v>474</v>
      </c>
      <c r="F15" t="s">
        <v>477</v>
      </c>
      <c r="G15" t="s">
        <v>485</v>
      </c>
      <c r="H15" t="s">
        <v>499</v>
      </c>
      <c r="I15">
        <v>51229</v>
      </c>
    </row>
    <row r="16" spans="1:9">
      <c r="A16" t="s">
        <v>23</v>
      </c>
      <c r="B16" t="s">
        <v>270</v>
      </c>
      <c r="C16" t="s">
        <v>285</v>
      </c>
      <c r="D16" t="s">
        <v>306</v>
      </c>
      <c r="E16" t="s">
        <v>472</v>
      </c>
      <c r="F16" t="s">
        <v>478</v>
      </c>
      <c r="G16" t="s">
        <v>482</v>
      </c>
      <c r="H16" t="s">
        <v>500</v>
      </c>
      <c r="I16">
        <v>157474</v>
      </c>
    </row>
    <row r="17" spans="1:9">
      <c r="A17" t="s">
        <v>24</v>
      </c>
      <c r="B17" t="s">
        <v>269</v>
      </c>
      <c r="C17" t="s">
        <v>285</v>
      </c>
      <c r="D17" t="s">
        <v>305</v>
      </c>
      <c r="E17" t="s">
        <v>472</v>
      </c>
      <c r="F17" t="s">
        <v>479</v>
      </c>
      <c r="G17" t="s">
        <v>484</v>
      </c>
      <c r="H17" t="s">
        <v>501</v>
      </c>
      <c r="I17">
        <v>112328</v>
      </c>
    </row>
    <row r="18" spans="1:9">
      <c r="A18" t="s">
        <v>25</v>
      </c>
      <c r="B18" t="s">
        <v>271</v>
      </c>
      <c r="C18" t="s">
        <v>280</v>
      </c>
      <c r="D18" t="s">
        <v>307</v>
      </c>
      <c r="E18" t="s">
        <v>474</v>
      </c>
      <c r="F18" t="s">
        <v>478</v>
      </c>
      <c r="G18" t="s">
        <v>482</v>
      </c>
      <c r="H18" t="s">
        <v>502</v>
      </c>
      <c r="I18">
        <v>179499</v>
      </c>
    </row>
    <row r="19" spans="1:9">
      <c r="A19" t="s">
        <v>26</v>
      </c>
      <c r="B19" t="s">
        <v>270</v>
      </c>
      <c r="C19" t="s">
        <v>286</v>
      </c>
      <c r="D19" t="s">
        <v>308</v>
      </c>
      <c r="E19" t="s">
        <v>474</v>
      </c>
      <c r="F19" t="s">
        <v>476</v>
      </c>
      <c r="G19" t="s">
        <v>485</v>
      </c>
      <c r="H19" t="s">
        <v>503</v>
      </c>
      <c r="I19">
        <v>54464</v>
      </c>
    </row>
    <row r="20" spans="1:9">
      <c r="A20" t="s">
        <v>27</v>
      </c>
      <c r="B20" t="s">
        <v>261</v>
      </c>
      <c r="C20" t="s">
        <v>287</v>
      </c>
      <c r="D20" t="s">
        <v>309</v>
      </c>
      <c r="E20" t="s">
        <v>473</v>
      </c>
      <c r="F20" t="s">
        <v>476</v>
      </c>
      <c r="G20" t="s">
        <v>481</v>
      </c>
      <c r="H20" t="s">
        <v>504</v>
      </c>
      <c r="I20">
        <v>242190</v>
      </c>
    </row>
    <row r="21" spans="1:9">
      <c r="A21" t="s">
        <v>28</v>
      </c>
      <c r="B21" t="s">
        <v>262</v>
      </c>
      <c r="C21" t="s">
        <v>283</v>
      </c>
      <c r="D21" t="s">
        <v>310</v>
      </c>
      <c r="E21" t="s">
        <v>468</v>
      </c>
      <c r="F21" t="s">
        <v>477</v>
      </c>
      <c r="G21" t="s">
        <v>483</v>
      </c>
      <c r="H21" t="s">
        <v>505</v>
      </c>
      <c r="I21">
        <v>89487</v>
      </c>
    </row>
    <row r="22" spans="1:9">
      <c r="A22" t="s">
        <v>29</v>
      </c>
      <c r="B22" t="s">
        <v>270</v>
      </c>
      <c r="C22" t="s">
        <v>288</v>
      </c>
      <c r="D22" t="s">
        <v>311</v>
      </c>
      <c r="E22" t="s">
        <v>473</v>
      </c>
      <c r="F22" t="s">
        <v>477</v>
      </c>
      <c r="G22" t="s">
        <v>485</v>
      </c>
      <c r="H22" t="s">
        <v>506</v>
      </c>
      <c r="I22">
        <v>61300</v>
      </c>
    </row>
    <row r="23" spans="1:9">
      <c r="A23" t="s">
        <v>30</v>
      </c>
      <c r="B23" t="s">
        <v>262</v>
      </c>
      <c r="C23" t="s">
        <v>280</v>
      </c>
      <c r="D23" t="s">
        <v>296</v>
      </c>
      <c r="E23" t="s">
        <v>470</v>
      </c>
      <c r="F23" t="s">
        <v>478</v>
      </c>
      <c r="G23" t="s">
        <v>483</v>
      </c>
      <c r="H23" t="s">
        <v>507</v>
      </c>
      <c r="I23">
        <v>75678</v>
      </c>
    </row>
    <row r="24" spans="1:9">
      <c r="A24" t="s">
        <v>31</v>
      </c>
      <c r="B24" t="s">
        <v>268</v>
      </c>
      <c r="C24" t="s">
        <v>281</v>
      </c>
      <c r="D24" t="s">
        <v>312</v>
      </c>
      <c r="E24" t="s">
        <v>473</v>
      </c>
      <c r="F24" t="s">
        <v>475</v>
      </c>
      <c r="G24" t="s">
        <v>481</v>
      </c>
      <c r="H24" t="s">
        <v>508</v>
      </c>
      <c r="I24">
        <v>207626</v>
      </c>
    </row>
    <row r="25" spans="1:9">
      <c r="A25" t="s">
        <v>32</v>
      </c>
      <c r="B25" t="s">
        <v>268</v>
      </c>
      <c r="C25" t="s">
        <v>288</v>
      </c>
      <c r="D25" t="s">
        <v>313</v>
      </c>
      <c r="E25" t="s">
        <v>471</v>
      </c>
      <c r="F25" t="s">
        <v>480</v>
      </c>
      <c r="G25" t="s">
        <v>482</v>
      </c>
      <c r="H25" t="s">
        <v>509</v>
      </c>
      <c r="I25">
        <v>148818</v>
      </c>
    </row>
    <row r="26" spans="1:9">
      <c r="A26" t="s">
        <v>33</v>
      </c>
      <c r="B26" t="s">
        <v>265</v>
      </c>
      <c r="C26" t="s">
        <v>281</v>
      </c>
      <c r="D26" t="s">
        <v>314</v>
      </c>
      <c r="E26" t="s">
        <v>471</v>
      </c>
      <c r="F26" t="s">
        <v>475</v>
      </c>
      <c r="G26" t="s">
        <v>485</v>
      </c>
      <c r="H26" t="s">
        <v>510</v>
      </c>
      <c r="I26">
        <v>50721</v>
      </c>
    </row>
    <row r="27" spans="1:9">
      <c r="A27" t="s">
        <v>34</v>
      </c>
      <c r="B27" t="s">
        <v>259</v>
      </c>
      <c r="C27" t="s">
        <v>289</v>
      </c>
      <c r="D27" t="s">
        <v>315</v>
      </c>
      <c r="E27" t="s">
        <v>469</v>
      </c>
      <c r="F27" t="s">
        <v>477</v>
      </c>
      <c r="G27" t="s">
        <v>482</v>
      </c>
      <c r="H27" t="s">
        <v>511</v>
      </c>
      <c r="I27">
        <v>152499</v>
      </c>
    </row>
    <row r="28" spans="1:9">
      <c r="A28" t="s">
        <v>35</v>
      </c>
      <c r="B28" t="s">
        <v>262</v>
      </c>
      <c r="C28" t="s">
        <v>282</v>
      </c>
      <c r="D28" t="s">
        <v>316</v>
      </c>
      <c r="E28" t="s">
        <v>471</v>
      </c>
      <c r="F28" t="s">
        <v>480</v>
      </c>
      <c r="G28" t="s">
        <v>483</v>
      </c>
      <c r="H28" t="s">
        <v>512</v>
      </c>
      <c r="I28">
        <v>96652</v>
      </c>
    </row>
    <row r="29" spans="1:9">
      <c r="A29" t="s">
        <v>36</v>
      </c>
      <c r="B29" t="s">
        <v>271</v>
      </c>
      <c r="C29" t="s">
        <v>283</v>
      </c>
      <c r="D29" t="s">
        <v>317</v>
      </c>
      <c r="E29" t="s">
        <v>470</v>
      </c>
      <c r="F29" t="s">
        <v>477</v>
      </c>
      <c r="G29" t="s">
        <v>483</v>
      </c>
      <c r="H29" t="s">
        <v>513</v>
      </c>
      <c r="I29">
        <v>70416</v>
      </c>
    </row>
    <row r="30" spans="1:9">
      <c r="A30" t="s">
        <v>37</v>
      </c>
      <c r="B30" t="s">
        <v>264</v>
      </c>
      <c r="C30" t="s">
        <v>279</v>
      </c>
      <c r="D30" t="s">
        <v>318</v>
      </c>
      <c r="E30" t="s">
        <v>468</v>
      </c>
      <c r="F30" t="s">
        <v>476</v>
      </c>
      <c r="G30" t="s">
        <v>481</v>
      </c>
      <c r="H30" t="s">
        <v>514</v>
      </c>
      <c r="I30">
        <v>244811</v>
      </c>
    </row>
    <row r="31" spans="1:9">
      <c r="A31" t="s">
        <v>38</v>
      </c>
      <c r="B31" t="s">
        <v>272</v>
      </c>
      <c r="C31" t="s">
        <v>282</v>
      </c>
      <c r="D31" t="s">
        <v>319</v>
      </c>
      <c r="E31" t="s">
        <v>471</v>
      </c>
      <c r="F31" t="s">
        <v>476</v>
      </c>
      <c r="G31" t="s">
        <v>484</v>
      </c>
      <c r="H31" t="s">
        <v>515</v>
      </c>
      <c r="I31">
        <v>121204</v>
      </c>
    </row>
    <row r="32" spans="1:9">
      <c r="A32" t="s">
        <v>39</v>
      </c>
      <c r="B32" t="s">
        <v>268</v>
      </c>
      <c r="C32" t="s">
        <v>290</v>
      </c>
      <c r="D32" t="s">
        <v>320</v>
      </c>
      <c r="E32" t="s">
        <v>474</v>
      </c>
      <c r="F32" t="s">
        <v>476</v>
      </c>
      <c r="G32" t="s">
        <v>481</v>
      </c>
      <c r="H32" t="s">
        <v>516</v>
      </c>
      <c r="I32">
        <v>245935</v>
      </c>
    </row>
    <row r="33" spans="1:9">
      <c r="A33" t="s">
        <v>40</v>
      </c>
      <c r="B33" t="s">
        <v>259</v>
      </c>
      <c r="C33" t="s">
        <v>279</v>
      </c>
      <c r="D33" t="s">
        <v>321</v>
      </c>
      <c r="E33" t="s">
        <v>470</v>
      </c>
      <c r="F33" t="s">
        <v>477</v>
      </c>
      <c r="G33" t="s">
        <v>484</v>
      </c>
      <c r="H33" t="s">
        <v>517</v>
      </c>
      <c r="I33">
        <v>124509</v>
      </c>
    </row>
    <row r="34" spans="1:9">
      <c r="A34" t="s">
        <v>41</v>
      </c>
      <c r="B34" t="s">
        <v>273</v>
      </c>
      <c r="C34" t="s">
        <v>284</v>
      </c>
      <c r="D34" t="s">
        <v>322</v>
      </c>
      <c r="E34" t="s">
        <v>474</v>
      </c>
      <c r="F34" t="s">
        <v>476</v>
      </c>
      <c r="G34" t="s">
        <v>485</v>
      </c>
      <c r="H34" t="s">
        <v>518</v>
      </c>
      <c r="I34">
        <v>45992</v>
      </c>
    </row>
    <row r="35" spans="1:9">
      <c r="A35" t="s">
        <v>42</v>
      </c>
      <c r="B35" t="s">
        <v>274</v>
      </c>
      <c r="C35" t="s">
        <v>286</v>
      </c>
      <c r="D35" t="s">
        <v>323</v>
      </c>
      <c r="E35" t="s">
        <v>471</v>
      </c>
      <c r="F35" t="s">
        <v>480</v>
      </c>
      <c r="G35" t="s">
        <v>481</v>
      </c>
      <c r="H35" t="s">
        <v>519</v>
      </c>
      <c r="I35">
        <v>196445</v>
      </c>
    </row>
    <row r="36" spans="1:9">
      <c r="A36" t="s">
        <v>43</v>
      </c>
      <c r="B36" t="s">
        <v>273</v>
      </c>
      <c r="C36" t="s">
        <v>283</v>
      </c>
      <c r="D36" t="s">
        <v>324</v>
      </c>
      <c r="E36" t="s">
        <v>470</v>
      </c>
      <c r="F36" t="s">
        <v>477</v>
      </c>
      <c r="G36" t="s">
        <v>484</v>
      </c>
      <c r="H36" t="s">
        <v>520</v>
      </c>
      <c r="I36">
        <v>107232</v>
      </c>
    </row>
    <row r="37" spans="1:9">
      <c r="A37" t="s">
        <v>44</v>
      </c>
      <c r="B37" t="s">
        <v>272</v>
      </c>
      <c r="C37" t="s">
        <v>283</v>
      </c>
      <c r="D37" t="s">
        <v>325</v>
      </c>
      <c r="E37" t="s">
        <v>471</v>
      </c>
      <c r="F37" t="s">
        <v>475</v>
      </c>
      <c r="G37" t="s">
        <v>481</v>
      </c>
      <c r="H37" t="s">
        <v>521</v>
      </c>
      <c r="I37">
        <v>249285</v>
      </c>
    </row>
    <row r="38" spans="1:9">
      <c r="A38" t="s">
        <v>45</v>
      </c>
      <c r="B38" t="s">
        <v>267</v>
      </c>
      <c r="C38" t="s">
        <v>291</v>
      </c>
      <c r="D38" t="s">
        <v>326</v>
      </c>
      <c r="E38" t="s">
        <v>471</v>
      </c>
      <c r="F38" t="s">
        <v>477</v>
      </c>
      <c r="G38" t="s">
        <v>484</v>
      </c>
      <c r="H38" t="s">
        <v>522</v>
      </c>
      <c r="I38">
        <v>124757</v>
      </c>
    </row>
    <row r="39" spans="1:9">
      <c r="A39" t="s">
        <v>46</v>
      </c>
      <c r="B39" t="s">
        <v>268</v>
      </c>
      <c r="C39" t="s">
        <v>286</v>
      </c>
      <c r="D39" t="s">
        <v>327</v>
      </c>
      <c r="E39" t="s">
        <v>472</v>
      </c>
      <c r="F39" t="s">
        <v>476</v>
      </c>
      <c r="G39" t="s">
        <v>481</v>
      </c>
      <c r="H39" t="s">
        <v>523</v>
      </c>
      <c r="I39">
        <v>196264</v>
      </c>
    </row>
    <row r="40" spans="1:9">
      <c r="A40" t="s">
        <v>47</v>
      </c>
      <c r="B40" t="s">
        <v>262</v>
      </c>
      <c r="C40" t="s">
        <v>285</v>
      </c>
      <c r="D40" t="s">
        <v>328</v>
      </c>
      <c r="E40" t="s">
        <v>474</v>
      </c>
      <c r="F40" t="s">
        <v>475</v>
      </c>
      <c r="G40" t="s">
        <v>485</v>
      </c>
      <c r="H40" t="s">
        <v>524</v>
      </c>
      <c r="I40">
        <v>45064</v>
      </c>
    </row>
    <row r="41" spans="1:9">
      <c r="A41" t="s">
        <v>48</v>
      </c>
      <c r="B41" t="s">
        <v>272</v>
      </c>
      <c r="C41" t="s">
        <v>283</v>
      </c>
      <c r="D41" t="s">
        <v>325</v>
      </c>
      <c r="E41" t="s">
        <v>474</v>
      </c>
      <c r="F41" t="s">
        <v>475</v>
      </c>
      <c r="G41" t="s">
        <v>483</v>
      </c>
      <c r="H41" t="s">
        <v>525</v>
      </c>
      <c r="I41">
        <v>88192</v>
      </c>
    </row>
    <row r="42" spans="1:9">
      <c r="A42" t="s">
        <v>49</v>
      </c>
      <c r="B42" t="s">
        <v>259</v>
      </c>
      <c r="C42" t="s">
        <v>283</v>
      </c>
      <c r="D42" t="s">
        <v>329</v>
      </c>
      <c r="E42" t="s">
        <v>470</v>
      </c>
      <c r="F42" t="s">
        <v>477</v>
      </c>
      <c r="G42" t="s">
        <v>483</v>
      </c>
      <c r="H42" t="s">
        <v>526</v>
      </c>
      <c r="I42">
        <v>80325</v>
      </c>
    </row>
    <row r="43" spans="1:9">
      <c r="A43" t="s">
        <v>50</v>
      </c>
      <c r="B43" t="s">
        <v>262</v>
      </c>
      <c r="C43" t="s">
        <v>284</v>
      </c>
      <c r="D43" t="s">
        <v>330</v>
      </c>
      <c r="E43" t="s">
        <v>472</v>
      </c>
      <c r="F43" t="s">
        <v>476</v>
      </c>
      <c r="G43" t="s">
        <v>483</v>
      </c>
      <c r="H43" t="s">
        <v>527</v>
      </c>
      <c r="I43">
        <v>87787</v>
      </c>
    </row>
    <row r="44" spans="1:9">
      <c r="A44" t="s">
        <v>51</v>
      </c>
      <c r="B44" t="s">
        <v>267</v>
      </c>
      <c r="C44" t="s">
        <v>287</v>
      </c>
      <c r="D44" t="s">
        <v>331</v>
      </c>
      <c r="E44" t="s">
        <v>472</v>
      </c>
      <c r="F44" t="s">
        <v>478</v>
      </c>
      <c r="G44" t="s">
        <v>482</v>
      </c>
      <c r="H44" t="s">
        <v>528</v>
      </c>
      <c r="I44">
        <v>149269</v>
      </c>
    </row>
    <row r="45" spans="1:9">
      <c r="A45" t="s">
        <v>52</v>
      </c>
      <c r="B45" t="s">
        <v>259</v>
      </c>
      <c r="C45" t="s">
        <v>278</v>
      </c>
      <c r="D45" t="s">
        <v>332</v>
      </c>
      <c r="E45" t="s">
        <v>474</v>
      </c>
      <c r="F45" t="s">
        <v>480</v>
      </c>
      <c r="G45" t="s">
        <v>481</v>
      </c>
      <c r="H45" t="s">
        <v>529</v>
      </c>
      <c r="I45">
        <v>208274</v>
      </c>
    </row>
    <row r="46" spans="1:9">
      <c r="A46" t="s">
        <v>53</v>
      </c>
      <c r="B46" t="s">
        <v>267</v>
      </c>
      <c r="C46" t="s">
        <v>288</v>
      </c>
      <c r="D46" t="s">
        <v>333</v>
      </c>
      <c r="E46" t="s">
        <v>474</v>
      </c>
      <c r="F46" t="s">
        <v>478</v>
      </c>
      <c r="G46" t="s">
        <v>485</v>
      </c>
      <c r="H46" t="s">
        <v>530</v>
      </c>
      <c r="I46">
        <v>54231</v>
      </c>
    </row>
    <row r="47" spans="1:9">
      <c r="A47" t="s">
        <v>54</v>
      </c>
      <c r="B47" t="s">
        <v>273</v>
      </c>
      <c r="C47" t="s">
        <v>285</v>
      </c>
      <c r="D47" t="s">
        <v>334</v>
      </c>
      <c r="E47" t="s">
        <v>473</v>
      </c>
      <c r="F47" t="s">
        <v>478</v>
      </c>
      <c r="G47" t="s">
        <v>483</v>
      </c>
      <c r="H47" t="s">
        <v>531</v>
      </c>
      <c r="I47">
        <v>94242</v>
      </c>
    </row>
    <row r="48" spans="1:9">
      <c r="A48" t="s">
        <v>55</v>
      </c>
      <c r="B48" t="s">
        <v>271</v>
      </c>
      <c r="C48" t="s">
        <v>286</v>
      </c>
      <c r="D48" t="s">
        <v>335</v>
      </c>
      <c r="E48" t="s">
        <v>468</v>
      </c>
      <c r="F48" t="s">
        <v>477</v>
      </c>
      <c r="G48" t="s">
        <v>484</v>
      </c>
      <c r="H48" t="s">
        <v>532</v>
      </c>
      <c r="I48">
        <v>119013</v>
      </c>
    </row>
    <row r="49" spans="1:9">
      <c r="A49" t="s">
        <v>56</v>
      </c>
      <c r="B49" t="s">
        <v>275</v>
      </c>
      <c r="C49" t="s">
        <v>287</v>
      </c>
      <c r="D49" t="s">
        <v>336</v>
      </c>
      <c r="E49" t="s">
        <v>468</v>
      </c>
      <c r="F49" t="s">
        <v>475</v>
      </c>
      <c r="G49" t="s">
        <v>482</v>
      </c>
      <c r="H49" t="s">
        <v>533</v>
      </c>
      <c r="I49">
        <v>165681</v>
      </c>
    </row>
    <row r="50" spans="1:9">
      <c r="A50" t="s">
        <v>57</v>
      </c>
      <c r="B50" t="s">
        <v>272</v>
      </c>
      <c r="C50" t="s">
        <v>285</v>
      </c>
      <c r="D50" t="s">
        <v>337</v>
      </c>
      <c r="E50" t="s">
        <v>471</v>
      </c>
      <c r="F50" t="s">
        <v>475</v>
      </c>
      <c r="G50" t="s">
        <v>483</v>
      </c>
      <c r="H50" t="s">
        <v>534</v>
      </c>
      <c r="I50">
        <v>90714</v>
      </c>
    </row>
    <row r="51" spans="1:9">
      <c r="A51" t="s">
        <v>58</v>
      </c>
      <c r="B51" t="s">
        <v>267</v>
      </c>
      <c r="C51" t="s">
        <v>287</v>
      </c>
      <c r="D51" t="s">
        <v>331</v>
      </c>
      <c r="E51" t="s">
        <v>473</v>
      </c>
      <c r="F51" t="s">
        <v>477</v>
      </c>
      <c r="G51" t="s">
        <v>484</v>
      </c>
      <c r="H51" t="s">
        <v>535</v>
      </c>
      <c r="I51">
        <v>113328</v>
      </c>
    </row>
    <row r="52" spans="1:9">
      <c r="A52" t="s">
        <v>59</v>
      </c>
      <c r="B52" t="s">
        <v>263</v>
      </c>
      <c r="C52" t="s">
        <v>285</v>
      </c>
      <c r="D52" t="s">
        <v>338</v>
      </c>
      <c r="E52" t="s">
        <v>469</v>
      </c>
      <c r="F52" t="s">
        <v>476</v>
      </c>
      <c r="G52" t="s">
        <v>482</v>
      </c>
      <c r="H52" t="s">
        <v>536</v>
      </c>
      <c r="I52">
        <v>170288</v>
      </c>
    </row>
    <row r="53" spans="1:9">
      <c r="A53" t="s">
        <v>60</v>
      </c>
      <c r="B53" t="s">
        <v>271</v>
      </c>
      <c r="C53" t="s">
        <v>289</v>
      </c>
      <c r="D53" t="s">
        <v>339</v>
      </c>
      <c r="E53" t="s">
        <v>474</v>
      </c>
      <c r="F53" t="s">
        <v>476</v>
      </c>
      <c r="G53" t="s">
        <v>482</v>
      </c>
      <c r="H53" t="s">
        <v>537</v>
      </c>
      <c r="I53">
        <v>155053</v>
      </c>
    </row>
    <row r="54" spans="1:9">
      <c r="A54" t="s">
        <v>61</v>
      </c>
      <c r="B54" t="s">
        <v>267</v>
      </c>
      <c r="C54" t="s">
        <v>285</v>
      </c>
      <c r="D54" t="s">
        <v>340</v>
      </c>
      <c r="E54" t="s">
        <v>472</v>
      </c>
      <c r="F54" t="s">
        <v>476</v>
      </c>
      <c r="G54" t="s">
        <v>481</v>
      </c>
      <c r="H54" t="s">
        <v>538</v>
      </c>
      <c r="I54">
        <v>216034</v>
      </c>
    </row>
    <row r="55" spans="1:9">
      <c r="A55" t="s">
        <v>62</v>
      </c>
      <c r="B55" t="s">
        <v>271</v>
      </c>
      <c r="C55" t="s">
        <v>284</v>
      </c>
      <c r="D55" t="s">
        <v>341</v>
      </c>
      <c r="E55" t="s">
        <v>472</v>
      </c>
      <c r="F55" t="s">
        <v>478</v>
      </c>
      <c r="G55" t="s">
        <v>481</v>
      </c>
      <c r="H55" t="s">
        <v>539</v>
      </c>
      <c r="I55">
        <v>195651</v>
      </c>
    </row>
    <row r="56" spans="1:9">
      <c r="A56" t="s">
        <v>63</v>
      </c>
      <c r="B56" t="s">
        <v>272</v>
      </c>
      <c r="C56" t="s">
        <v>292</v>
      </c>
      <c r="D56" t="s">
        <v>342</v>
      </c>
      <c r="E56" t="s">
        <v>471</v>
      </c>
      <c r="F56" t="s">
        <v>478</v>
      </c>
      <c r="G56" t="s">
        <v>482</v>
      </c>
      <c r="H56" t="s">
        <v>540</v>
      </c>
      <c r="I56">
        <v>168953</v>
      </c>
    </row>
    <row r="57" spans="1:9">
      <c r="A57" t="s">
        <v>64</v>
      </c>
      <c r="B57" t="s">
        <v>271</v>
      </c>
      <c r="C57" t="s">
        <v>279</v>
      </c>
      <c r="D57" t="s">
        <v>343</v>
      </c>
      <c r="E57" t="s">
        <v>471</v>
      </c>
      <c r="F57" t="s">
        <v>478</v>
      </c>
      <c r="G57" t="s">
        <v>481</v>
      </c>
      <c r="H57" t="s">
        <v>541</v>
      </c>
      <c r="I57">
        <v>195870</v>
      </c>
    </row>
    <row r="58" spans="1:9">
      <c r="A58" t="s">
        <v>65</v>
      </c>
      <c r="B58" t="s">
        <v>266</v>
      </c>
      <c r="C58" t="s">
        <v>277</v>
      </c>
      <c r="D58" t="s">
        <v>344</v>
      </c>
      <c r="E58" t="s">
        <v>474</v>
      </c>
      <c r="F58" t="s">
        <v>475</v>
      </c>
      <c r="G58" t="s">
        <v>481</v>
      </c>
      <c r="H58" t="s">
        <v>542</v>
      </c>
      <c r="I58">
        <v>258725</v>
      </c>
    </row>
    <row r="59" spans="1:9">
      <c r="A59" t="s">
        <v>66</v>
      </c>
      <c r="B59" t="s">
        <v>262</v>
      </c>
      <c r="C59" t="s">
        <v>292</v>
      </c>
      <c r="D59" t="s">
        <v>345</v>
      </c>
      <c r="E59" t="s">
        <v>469</v>
      </c>
      <c r="F59" t="s">
        <v>480</v>
      </c>
      <c r="G59" t="s">
        <v>481</v>
      </c>
      <c r="H59" t="s">
        <v>543</v>
      </c>
      <c r="I59">
        <v>252802</v>
      </c>
    </row>
    <row r="60" spans="1:9">
      <c r="A60" t="s">
        <v>67</v>
      </c>
      <c r="B60" t="s">
        <v>274</v>
      </c>
      <c r="C60" t="s">
        <v>292</v>
      </c>
      <c r="D60" t="s">
        <v>346</v>
      </c>
      <c r="E60" t="s">
        <v>469</v>
      </c>
      <c r="F60" t="s">
        <v>478</v>
      </c>
      <c r="G60" t="s">
        <v>481</v>
      </c>
      <c r="H60" t="s">
        <v>544</v>
      </c>
      <c r="I60">
        <v>238530</v>
      </c>
    </row>
    <row r="61" spans="1:9">
      <c r="A61" t="s">
        <v>68</v>
      </c>
      <c r="B61" t="s">
        <v>271</v>
      </c>
      <c r="C61" t="s">
        <v>283</v>
      </c>
      <c r="D61" t="s">
        <v>317</v>
      </c>
      <c r="E61" t="s">
        <v>471</v>
      </c>
      <c r="F61" t="s">
        <v>480</v>
      </c>
      <c r="G61" t="s">
        <v>481</v>
      </c>
      <c r="H61" t="s">
        <v>545</v>
      </c>
      <c r="I61">
        <v>228307</v>
      </c>
    </row>
    <row r="62" spans="1:9">
      <c r="A62" t="s">
        <v>69</v>
      </c>
      <c r="B62" t="s">
        <v>262</v>
      </c>
      <c r="C62" t="s">
        <v>284</v>
      </c>
      <c r="D62" t="s">
        <v>330</v>
      </c>
      <c r="E62" t="s">
        <v>472</v>
      </c>
      <c r="F62" t="s">
        <v>479</v>
      </c>
      <c r="G62" t="s">
        <v>485</v>
      </c>
      <c r="H62" t="s">
        <v>546</v>
      </c>
      <c r="I62">
        <v>50490</v>
      </c>
    </row>
    <row r="63" spans="1:9">
      <c r="A63" t="s">
        <v>70</v>
      </c>
      <c r="B63" t="s">
        <v>269</v>
      </c>
      <c r="C63" t="s">
        <v>289</v>
      </c>
      <c r="D63" t="s">
        <v>347</v>
      </c>
      <c r="E63" t="s">
        <v>469</v>
      </c>
      <c r="F63" t="s">
        <v>476</v>
      </c>
      <c r="G63" t="s">
        <v>485</v>
      </c>
      <c r="H63" t="s">
        <v>547</v>
      </c>
      <c r="I63">
        <v>62283</v>
      </c>
    </row>
    <row r="64" spans="1:9">
      <c r="A64" t="s">
        <v>71</v>
      </c>
      <c r="B64" t="s">
        <v>259</v>
      </c>
      <c r="C64" t="s">
        <v>282</v>
      </c>
      <c r="D64" t="s">
        <v>348</v>
      </c>
      <c r="E64" t="s">
        <v>473</v>
      </c>
      <c r="F64" t="s">
        <v>475</v>
      </c>
      <c r="G64" t="s">
        <v>482</v>
      </c>
      <c r="H64" t="s">
        <v>548</v>
      </c>
      <c r="I64">
        <v>164489</v>
      </c>
    </row>
    <row r="65" spans="1:9">
      <c r="A65" t="s">
        <v>72</v>
      </c>
      <c r="B65" t="s">
        <v>267</v>
      </c>
      <c r="C65" t="s">
        <v>284</v>
      </c>
      <c r="D65" t="s">
        <v>301</v>
      </c>
      <c r="E65" t="s">
        <v>472</v>
      </c>
      <c r="F65" t="s">
        <v>476</v>
      </c>
      <c r="G65" t="s">
        <v>484</v>
      </c>
      <c r="H65" t="s">
        <v>549</v>
      </c>
      <c r="I65">
        <v>110576</v>
      </c>
    </row>
    <row r="66" spans="1:9">
      <c r="A66" t="s">
        <v>73</v>
      </c>
      <c r="B66" t="s">
        <v>275</v>
      </c>
      <c r="C66" t="s">
        <v>281</v>
      </c>
      <c r="D66" t="s">
        <v>349</v>
      </c>
      <c r="E66" t="s">
        <v>469</v>
      </c>
      <c r="F66" t="s">
        <v>480</v>
      </c>
      <c r="G66" t="s">
        <v>484</v>
      </c>
      <c r="H66" t="s">
        <v>550</v>
      </c>
      <c r="I66">
        <v>129756</v>
      </c>
    </row>
    <row r="67" spans="1:9">
      <c r="A67" t="s">
        <v>74</v>
      </c>
      <c r="B67" t="s">
        <v>270</v>
      </c>
      <c r="C67" t="s">
        <v>279</v>
      </c>
      <c r="D67" t="s">
        <v>350</v>
      </c>
      <c r="E67" t="s">
        <v>471</v>
      </c>
      <c r="F67" t="s">
        <v>480</v>
      </c>
      <c r="G67" t="s">
        <v>485</v>
      </c>
      <c r="H67" t="s">
        <v>551</v>
      </c>
      <c r="I67">
        <v>59699</v>
      </c>
    </row>
    <row r="68" spans="1:9">
      <c r="A68" t="s">
        <v>75</v>
      </c>
      <c r="B68" t="s">
        <v>261</v>
      </c>
      <c r="C68" t="s">
        <v>283</v>
      </c>
      <c r="D68" t="s">
        <v>351</v>
      </c>
      <c r="E68" t="s">
        <v>468</v>
      </c>
      <c r="F68" t="s">
        <v>475</v>
      </c>
      <c r="G68" t="s">
        <v>482</v>
      </c>
      <c r="H68" t="s">
        <v>552</v>
      </c>
      <c r="I68">
        <v>177506</v>
      </c>
    </row>
    <row r="69" spans="1:9">
      <c r="A69" t="s">
        <v>76</v>
      </c>
      <c r="B69" t="s">
        <v>269</v>
      </c>
      <c r="C69" t="s">
        <v>286</v>
      </c>
      <c r="D69" t="s">
        <v>352</v>
      </c>
      <c r="E69" t="s">
        <v>474</v>
      </c>
      <c r="F69" t="s">
        <v>478</v>
      </c>
      <c r="G69" t="s">
        <v>483</v>
      </c>
      <c r="H69" t="s">
        <v>553</v>
      </c>
      <c r="I69">
        <v>70956</v>
      </c>
    </row>
    <row r="70" spans="1:9">
      <c r="A70" t="s">
        <v>77</v>
      </c>
      <c r="B70" t="s">
        <v>273</v>
      </c>
      <c r="C70" t="s">
        <v>291</v>
      </c>
      <c r="D70" t="s">
        <v>353</v>
      </c>
      <c r="E70" t="s">
        <v>474</v>
      </c>
      <c r="F70" t="s">
        <v>478</v>
      </c>
      <c r="G70" t="s">
        <v>482</v>
      </c>
      <c r="H70" t="s">
        <v>554</v>
      </c>
      <c r="I70">
        <v>159670</v>
      </c>
    </row>
    <row r="71" spans="1:9">
      <c r="A71" t="s">
        <v>78</v>
      </c>
      <c r="B71" t="s">
        <v>261</v>
      </c>
      <c r="C71" t="s">
        <v>291</v>
      </c>
      <c r="D71" t="s">
        <v>354</v>
      </c>
      <c r="E71" t="s">
        <v>473</v>
      </c>
      <c r="F71" t="s">
        <v>480</v>
      </c>
      <c r="G71" t="s">
        <v>483</v>
      </c>
      <c r="H71" t="s">
        <v>555</v>
      </c>
      <c r="I71">
        <v>87679</v>
      </c>
    </row>
    <row r="72" spans="1:9">
      <c r="A72" t="s">
        <v>79</v>
      </c>
      <c r="B72" t="s">
        <v>259</v>
      </c>
      <c r="C72" t="s">
        <v>290</v>
      </c>
      <c r="D72" t="s">
        <v>355</v>
      </c>
      <c r="E72" t="s">
        <v>472</v>
      </c>
      <c r="F72" t="s">
        <v>480</v>
      </c>
      <c r="G72" t="s">
        <v>481</v>
      </c>
      <c r="H72" t="s">
        <v>556</v>
      </c>
      <c r="I72">
        <v>246026</v>
      </c>
    </row>
    <row r="73" spans="1:9">
      <c r="A73" t="s">
        <v>80</v>
      </c>
      <c r="B73" t="s">
        <v>274</v>
      </c>
      <c r="C73" t="s">
        <v>291</v>
      </c>
      <c r="D73" t="s">
        <v>356</v>
      </c>
      <c r="E73" t="s">
        <v>469</v>
      </c>
      <c r="F73" t="s">
        <v>479</v>
      </c>
      <c r="G73" t="s">
        <v>483</v>
      </c>
      <c r="H73" t="s">
        <v>557</v>
      </c>
      <c r="I73">
        <v>99449</v>
      </c>
    </row>
    <row r="74" spans="1:9">
      <c r="A74" t="s">
        <v>81</v>
      </c>
      <c r="B74" t="s">
        <v>260</v>
      </c>
      <c r="C74" t="s">
        <v>287</v>
      </c>
      <c r="D74" t="s">
        <v>357</v>
      </c>
      <c r="E74" t="s">
        <v>473</v>
      </c>
      <c r="F74" t="s">
        <v>480</v>
      </c>
      <c r="G74" t="s">
        <v>483</v>
      </c>
      <c r="H74" t="s">
        <v>558</v>
      </c>
      <c r="I74">
        <v>81853</v>
      </c>
    </row>
    <row r="75" spans="1:9">
      <c r="A75" t="s">
        <v>82</v>
      </c>
      <c r="B75" t="s">
        <v>264</v>
      </c>
      <c r="C75" t="s">
        <v>278</v>
      </c>
      <c r="D75" t="s">
        <v>358</v>
      </c>
      <c r="E75" t="s">
        <v>472</v>
      </c>
      <c r="F75" t="s">
        <v>479</v>
      </c>
      <c r="G75" t="s">
        <v>485</v>
      </c>
      <c r="H75" t="s">
        <v>559</v>
      </c>
      <c r="I75">
        <v>58651</v>
      </c>
    </row>
    <row r="76" spans="1:9">
      <c r="A76" t="s">
        <v>83</v>
      </c>
      <c r="B76" t="s">
        <v>269</v>
      </c>
      <c r="C76" t="s">
        <v>289</v>
      </c>
      <c r="D76" t="s">
        <v>347</v>
      </c>
      <c r="E76" t="s">
        <v>469</v>
      </c>
      <c r="F76" t="s">
        <v>478</v>
      </c>
      <c r="G76" t="s">
        <v>485</v>
      </c>
      <c r="H76" t="s">
        <v>560</v>
      </c>
      <c r="I76">
        <v>51044</v>
      </c>
    </row>
    <row r="77" spans="1:9">
      <c r="A77" t="s">
        <v>84</v>
      </c>
      <c r="B77" t="s">
        <v>264</v>
      </c>
      <c r="C77" t="s">
        <v>285</v>
      </c>
      <c r="D77" t="s">
        <v>302</v>
      </c>
      <c r="E77" t="s">
        <v>470</v>
      </c>
      <c r="F77" t="s">
        <v>476</v>
      </c>
      <c r="G77" t="s">
        <v>484</v>
      </c>
      <c r="H77" t="s">
        <v>561</v>
      </c>
      <c r="I77">
        <v>107723</v>
      </c>
    </row>
    <row r="78" spans="1:9">
      <c r="A78" t="s">
        <v>85</v>
      </c>
      <c r="B78" t="s">
        <v>271</v>
      </c>
      <c r="C78" t="s">
        <v>277</v>
      </c>
      <c r="D78" t="s">
        <v>359</v>
      </c>
      <c r="E78" t="s">
        <v>474</v>
      </c>
      <c r="F78" t="s">
        <v>475</v>
      </c>
      <c r="G78" t="s">
        <v>482</v>
      </c>
      <c r="H78" t="s">
        <v>562</v>
      </c>
      <c r="I78">
        <v>169774</v>
      </c>
    </row>
    <row r="79" spans="1:9">
      <c r="A79" t="s">
        <v>86</v>
      </c>
      <c r="B79" t="s">
        <v>270</v>
      </c>
      <c r="C79" t="s">
        <v>277</v>
      </c>
      <c r="D79" t="s">
        <v>360</v>
      </c>
      <c r="E79" t="s">
        <v>474</v>
      </c>
      <c r="F79" t="s">
        <v>477</v>
      </c>
      <c r="G79" t="s">
        <v>484</v>
      </c>
      <c r="H79" t="s">
        <v>563</v>
      </c>
      <c r="I79">
        <v>108811</v>
      </c>
    </row>
    <row r="80" spans="1:9">
      <c r="A80" t="s">
        <v>87</v>
      </c>
      <c r="B80" t="s">
        <v>272</v>
      </c>
      <c r="C80" t="s">
        <v>281</v>
      </c>
      <c r="D80" t="s">
        <v>361</v>
      </c>
      <c r="E80" t="s">
        <v>471</v>
      </c>
      <c r="F80" t="s">
        <v>476</v>
      </c>
      <c r="G80" t="s">
        <v>484</v>
      </c>
      <c r="H80" t="s">
        <v>542</v>
      </c>
      <c r="I80">
        <v>116911</v>
      </c>
    </row>
    <row r="81" spans="1:9">
      <c r="A81" t="s">
        <v>88</v>
      </c>
      <c r="B81" t="s">
        <v>260</v>
      </c>
      <c r="C81" t="s">
        <v>284</v>
      </c>
      <c r="D81" t="s">
        <v>362</v>
      </c>
      <c r="E81" t="s">
        <v>472</v>
      </c>
      <c r="F81" t="s">
        <v>480</v>
      </c>
      <c r="G81" t="s">
        <v>484</v>
      </c>
      <c r="H81" t="s">
        <v>564</v>
      </c>
      <c r="I81">
        <v>130128</v>
      </c>
    </row>
    <row r="82" spans="1:9">
      <c r="A82" t="s">
        <v>89</v>
      </c>
      <c r="B82" t="s">
        <v>273</v>
      </c>
      <c r="C82" t="s">
        <v>290</v>
      </c>
      <c r="D82" t="s">
        <v>363</v>
      </c>
      <c r="E82" t="s">
        <v>474</v>
      </c>
      <c r="F82" t="s">
        <v>478</v>
      </c>
      <c r="G82" t="s">
        <v>484</v>
      </c>
      <c r="H82" t="s">
        <v>565</v>
      </c>
      <c r="I82">
        <v>113797</v>
      </c>
    </row>
    <row r="83" spans="1:9">
      <c r="A83" t="s">
        <v>90</v>
      </c>
      <c r="B83" t="s">
        <v>263</v>
      </c>
      <c r="C83" t="s">
        <v>286</v>
      </c>
      <c r="D83" t="s">
        <v>364</v>
      </c>
      <c r="E83" t="s">
        <v>472</v>
      </c>
      <c r="F83" t="s">
        <v>476</v>
      </c>
      <c r="G83" t="s">
        <v>484</v>
      </c>
      <c r="H83" t="s">
        <v>566</v>
      </c>
      <c r="I83">
        <v>124262</v>
      </c>
    </row>
    <row r="84" spans="1:9">
      <c r="A84" t="s">
        <v>91</v>
      </c>
      <c r="B84" t="s">
        <v>266</v>
      </c>
      <c r="C84" t="s">
        <v>283</v>
      </c>
      <c r="D84" t="s">
        <v>300</v>
      </c>
      <c r="E84" t="s">
        <v>470</v>
      </c>
      <c r="F84" t="s">
        <v>480</v>
      </c>
      <c r="G84" t="s">
        <v>482</v>
      </c>
      <c r="H84" t="s">
        <v>567</v>
      </c>
      <c r="I84">
        <v>174929</v>
      </c>
    </row>
    <row r="85" spans="1:9">
      <c r="A85" t="s">
        <v>92</v>
      </c>
      <c r="B85" t="s">
        <v>264</v>
      </c>
      <c r="C85" t="s">
        <v>285</v>
      </c>
      <c r="D85" t="s">
        <v>302</v>
      </c>
      <c r="E85" t="s">
        <v>472</v>
      </c>
      <c r="F85" t="s">
        <v>479</v>
      </c>
      <c r="G85" t="s">
        <v>484</v>
      </c>
      <c r="H85" t="s">
        <v>568</v>
      </c>
      <c r="I85">
        <v>118835</v>
      </c>
    </row>
    <row r="86" spans="1:9">
      <c r="A86" t="s">
        <v>93</v>
      </c>
      <c r="B86" t="s">
        <v>268</v>
      </c>
      <c r="C86" t="s">
        <v>283</v>
      </c>
      <c r="D86" t="s">
        <v>365</v>
      </c>
      <c r="E86" t="s">
        <v>468</v>
      </c>
      <c r="F86" t="s">
        <v>475</v>
      </c>
      <c r="G86" t="s">
        <v>481</v>
      </c>
      <c r="H86" t="s">
        <v>569</v>
      </c>
      <c r="I86">
        <v>204525</v>
      </c>
    </row>
    <row r="87" spans="1:9">
      <c r="A87" t="s">
        <v>94</v>
      </c>
      <c r="B87" t="s">
        <v>274</v>
      </c>
      <c r="C87" t="s">
        <v>290</v>
      </c>
      <c r="D87" t="s">
        <v>366</v>
      </c>
      <c r="E87" t="s">
        <v>473</v>
      </c>
      <c r="F87" t="s">
        <v>475</v>
      </c>
      <c r="G87" t="s">
        <v>484</v>
      </c>
      <c r="H87" t="s">
        <v>570</v>
      </c>
      <c r="I87">
        <v>123367</v>
      </c>
    </row>
    <row r="88" spans="1:9">
      <c r="A88" t="s">
        <v>95</v>
      </c>
      <c r="B88" t="s">
        <v>276</v>
      </c>
      <c r="C88" t="s">
        <v>277</v>
      </c>
      <c r="D88" t="s">
        <v>367</v>
      </c>
      <c r="E88" t="s">
        <v>473</v>
      </c>
      <c r="F88" t="s">
        <v>478</v>
      </c>
      <c r="G88" t="s">
        <v>483</v>
      </c>
      <c r="H88" t="s">
        <v>544</v>
      </c>
      <c r="I88">
        <v>71284</v>
      </c>
    </row>
    <row r="89" spans="1:9">
      <c r="A89" t="s">
        <v>96</v>
      </c>
      <c r="B89" t="s">
        <v>263</v>
      </c>
      <c r="C89" t="s">
        <v>291</v>
      </c>
      <c r="D89" t="s">
        <v>368</v>
      </c>
      <c r="E89" t="s">
        <v>471</v>
      </c>
      <c r="F89" t="s">
        <v>476</v>
      </c>
      <c r="G89" t="s">
        <v>482</v>
      </c>
      <c r="H89" t="s">
        <v>571</v>
      </c>
      <c r="I89">
        <v>175631</v>
      </c>
    </row>
    <row r="90" spans="1:9">
      <c r="A90" t="s">
        <v>97</v>
      </c>
      <c r="B90" t="s">
        <v>269</v>
      </c>
      <c r="C90" t="s">
        <v>289</v>
      </c>
      <c r="D90" t="s">
        <v>347</v>
      </c>
      <c r="E90" t="s">
        <v>469</v>
      </c>
      <c r="F90" t="s">
        <v>479</v>
      </c>
      <c r="G90" t="s">
        <v>483</v>
      </c>
      <c r="H90" t="s">
        <v>572</v>
      </c>
      <c r="I90">
        <v>72017</v>
      </c>
    </row>
    <row r="91" spans="1:9">
      <c r="A91" t="s">
        <v>98</v>
      </c>
      <c r="B91" t="s">
        <v>266</v>
      </c>
      <c r="C91" t="s">
        <v>280</v>
      </c>
      <c r="D91" t="s">
        <v>369</v>
      </c>
      <c r="E91" t="s">
        <v>468</v>
      </c>
      <c r="F91" t="s">
        <v>475</v>
      </c>
      <c r="G91" t="s">
        <v>484</v>
      </c>
      <c r="H91" t="s">
        <v>573</v>
      </c>
      <c r="I91">
        <v>120327</v>
      </c>
    </row>
    <row r="92" spans="1:9">
      <c r="A92" t="s">
        <v>99</v>
      </c>
      <c r="B92" t="s">
        <v>267</v>
      </c>
      <c r="C92" t="s">
        <v>282</v>
      </c>
      <c r="D92" t="s">
        <v>370</v>
      </c>
      <c r="E92" t="s">
        <v>472</v>
      </c>
      <c r="F92" t="s">
        <v>477</v>
      </c>
      <c r="G92" t="s">
        <v>484</v>
      </c>
      <c r="H92" t="s">
        <v>574</v>
      </c>
      <c r="I92">
        <v>121451</v>
      </c>
    </row>
    <row r="93" spans="1:9">
      <c r="A93" t="s">
        <v>100</v>
      </c>
      <c r="B93" t="s">
        <v>270</v>
      </c>
      <c r="C93" t="s">
        <v>292</v>
      </c>
      <c r="D93" t="s">
        <v>371</v>
      </c>
      <c r="E93" t="s">
        <v>473</v>
      </c>
      <c r="F93" t="s">
        <v>475</v>
      </c>
      <c r="G93" t="s">
        <v>481</v>
      </c>
      <c r="H93" t="s">
        <v>575</v>
      </c>
      <c r="I93">
        <v>236049</v>
      </c>
    </row>
    <row r="94" spans="1:9">
      <c r="A94" t="s">
        <v>101</v>
      </c>
      <c r="B94" t="s">
        <v>274</v>
      </c>
      <c r="C94" t="s">
        <v>291</v>
      </c>
      <c r="D94" t="s">
        <v>356</v>
      </c>
      <c r="E94" t="s">
        <v>472</v>
      </c>
      <c r="F94" t="s">
        <v>475</v>
      </c>
      <c r="G94" t="s">
        <v>482</v>
      </c>
      <c r="H94" t="s">
        <v>576</v>
      </c>
      <c r="I94">
        <v>162613</v>
      </c>
    </row>
    <row r="95" spans="1:9">
      <c r="A95" t="s">
        <v>102</v>
      </c>
      <c r="B95" t="s">
        <v>269</v>
      </c>
      <c r="C95" t="s">
        <v>287</v>
      </c>
      <c r="D95" t="s">
        <v>372</v>
      </c>
      <c r="E95" t="s">
        <v>471</v>
      </c>
      <c r="F95" t="s">
        <v>480</v>
      </c>
      <c r="G95" t="s">
        <v>484</v>
      </c>
      <c r="H95" t="s">
        <v>538</v>
      </c>
      <c r="I95">
        <v>132308</v>
      </c>
    </row>
    <row r="96" spans="1:9">
      <c r="A96" t="s">
        <v>103</v>
      </c>
      <c r="B96" t="s">
        <v>264</v>
      </c>
      <c r="C96" t="s">
        <v>285</v>
      </c>
      <c r="D96" t="s">
        <v>302</v>
      </c>
      <c r="E96" t="s">
        <v>470</v>
      </c>
      <c r="F96" t="s">
        <v>478</v>
      </c>
      <c r="G96" t="s">
        <v>483</v>
      </c>
      <c r="H96" t="s">
        <v>577</v>
      </c>
      <c r="I96">
        <v>73771</v>
      </c>
    </row>
    <row r="97" spans="1:9">
      <c r="A97" t="s">
        <v>104</v>
      </c>
      <c r="B97" t="s">
        <v>260</v>
      </c>
      <c r="C97" t="s">
        <v>287</v>
      </c>
      <c r="D97" t="s">
        <v>357</v>
      </c>
      <c r="E97" t="s">
        <v>468</v>
      </c>
      <c r="F97" t="s">
        <v>475</v>
      </c>
      <c r="G97" t="s">
        <v>485</v>
      </c>
      <c r="H97" t="s">
        <v>578</v>
      </c>
      <c r="I97">
        <v>55955</v>
      </c>
    </row>
    <row r="98" spans="1:9">
      <c r="A98" t="s">
        <v>105</v>
      </c>
      <c r="B98" t="s">
        <v>270</v>
      </c>
      <c r="C98" t="s">
        <v>280</v>
      </c>
      <c r="D98" t="s">
        <v>373</v>
      </c>
      <c r="E98" t="s">
        <v>469</v>
      </c>
      <c r="F98" t="s">
        <v>479</v>
      </c>
      <c r="G98" t="s">
        <v>483</v>
      </c>
      <c r="H98" t="s">
        <v>579</v>
      </c>
      <c r="I98">
        <v>84205</v>
      </c>
    </row>
    <row r="99" spans="1:9">
      <c r="A99" t="s">
        <v>106</v>
      </c>
      <c r="B99" t="s">
        <v>265</v>
      </c>
      <c r="C99" t="s">
        <v>277</v>
      </c>
      <c r="D99" t="s">
        <v>374</v>
      </c>
      <c r="E99" t="s">
        <v>470</v>
      </c>
      <c r="F99" t="s">
        <v>478</v>
      </c>
      <c r="G99" t="s">
        <v>481</v>
      </c>
      <c r="H99" t="s">
        <v>580</v>
      </c>
      <c r="I99">
        <v>253081</v>
      </c>
    </row>
    <row r="100" spans="1:9">
      <c r="A100" t="s">
        <v>107</v>
      </c>
      <c r="B100" t="s">
        <v>267</v>
      </c>
      <c r="C100" t="s">
        <v>281</v>
      </c>
      <c r="D100" t="s">
        <v>375</v>
      </c>
      <c r="E100" t="s">
        <v>469</v>
      </c>
      <c r="F100" t="s">
        <v>477</v>
      </c>
      <c r="G100" t="s">
        <v>482</v>
      </c>
      <c r="H100" t="s">
        <v>581</v>
      </c>
      <c r="I100">
        <v>179408</v>
      </c>
    </row>
    <row r="101" spans="1:9">
      <c r="A101" t="s">
        <v>108</v>
      </c>
      <c r="B101" t="s">
        <v>265</v>
      </c>
      <c r="C101" t="s">
        <v>278</v>
      </c>
      <c r="D101" t="s">
        <v>376</v>
      </c>
      <c r="E101" t="s">
        <v>473</v>
      </c>
      <c r="F101" t="s">
        <v>480</v>
      </c>
      <c r="G101" t="s">
        <v>481</v>
      </c>
      <c r="H101" t="s">
        <v>582</v>
      </c>
      <c r="I101">
        <v>198506</v>
      </c>
    </row>
    <row r="102" spans="1:9">
      <c r="A102" t="s">
        <v>109</v>
      </c>
      <c r="B102" t="s">
        <v>262</v>
      </c>
      <c r="C102" t="s">
        <v>279</v>
      </c>
      <c r="D102" t="s">
        <v>377</v>
      </c>
      <c r="E102" t="s">
        <v>472</v>
      </c>
      <c r="F102" t="s">
        <v>477</v>
      </c>
      <c r="G102" t="s">
        <v>483</v>
      </c>
      <c r="H102" t="s">
        <v>583</v>
      </c>
      <c r="I102">
        <v>81829</v>
      </c>
    </row>
    <row r="103" spans="1:9">
      <c r="A103" t="s">
        <v>110</v>
      </c>
      <c r="B103" t="s">
        <v>274</v>
      </c>
      <c r="C103" t="s">
        <v>284</v>
      </c>
      <c r="D103" t="s">
        <v>378</v>
      </c>
      <c r="E103" t="s">
        <v>468</v>
      </c>
      <c r="F103" t="s">
        <v>480</v>
      </c>
      <c r="G103" t="s">
        <v>484</v>
      </c>
      <c r="H103" t="s">
        <v>584</v>
      </c>
      <c r="I103">
        <v>134020</v>
      </c>
    </row>
    <row r="104" spans="1:9">
      <c r="A104" t="s">
        <v>111</v>
      </c>
      <c r="B104" t="s">
        <v>264</v>
      </c>
      <c r="C104" t="s">
        <v>292</v>
      </c>
      <c r="D104" t="s">
        <v>379</v>
      </c>
      <c r="E104" t="s">
        <v>468</v>
      </c>
      <c r="F104" t="s">
        <v>479</v>
      </c>
      <c r="G104" t="s">
        <v>482</v>
      </c>
      <c r="H104" t="s">
        <v>585</v>
      </c>
      <c r="I104">
        <v>154937</v>
      </c>
    </row>
    <row r="105" spans="1:9">
      <c r="A105" t="s">
        <v>112</v>
      </c>
      <c r="B105" t="s">
        <v>273</v>
      </c>
      <c r="C105" t="s">
        <v>291</v>
      </c>
      <c r="D105" t="s">
        <v>353</v>
      </c>
      <c r="E105" t="s">
        <v>471</v>
      </c>
      <c r="F105" t="s">
        <v>476</v>
      </c>
      <c r="G105" t="s">
        <v>483</v>
      </c>
      <c r="H105" t="s">
        <v>545</v>
      </c>
      <c r="I105">
        <v>87357</v>
      </c>
    </row>
    <row r="106" spans="1:9">
      <c r="A106" t="s">
        <v>113</v>
      </c>
      <c r="B106" t="s">
        <v>259</v>
      </c>
      <c r="C106" t="s">
        <v>285</v>
      </c>
      <c r="D106" t="s">
        <v>380</v>
      </c>
      <c r="E106" t="s">
        <v>468</v>
      </c>
      <c r="F106" t="s">
        <v>480</v>
      </c>
      <c r="G106" t="s">
        <v>483</v>
      </c>
      <c r="H106" t="s">
        <v>586</v>
      </c>
      <c r="I106">
        <v>70679</v>
      </c>
    </row>
    <row r="107" spans="1:9">
      <c r="A107" t="s">
        <v>114</v>
      </c>
      <c r="B107" t="s">
        <v>267</v>
      </c>
      <c r="C107" t="s">
        <v>285</v>
      </c>
      <c r="D107" t="s">
        <v>340</v>
      </c>
      <c r="E107" t="s">
        <v>468</v>
      </c>
      <c r="F107" t="s">
        <v>477</v>
      </c>
      <c r="G107" t="s">
        <v>481</v>
      </c>
      <c r="H107" t="s">
        <v>587</v>
      </c>
      <c r="I107">
        <v>253355</v>
      </c>
    </row>
    <row r="108" spans="1:9">
      <c r="A108" t="s">
        <v>115</v>
      </c>
      <c r="B108" t="s">
        <v>270</v>
      </c>
      <c r="C108" t="s">
        <v>290</v>
      </c>
      <c r="D108" t="s">
        <v>381</v>
      </c>
      <c r="E108" t="s">
        <v>471</v>
      </c>
      <c r="F108" t="s">
        <v>475</v>
      </c>
      <c r="G108" t="s">
        <v>484</v>
      </c>
      <c r="H108" t="s">
        <v>588</v>
      </c>
      <c r="I108">
        <v>115167</v>
      </c>
    </row>
    <row r="109" spans="1:9">
      <c r="A109" t="s">
        <v>116</v>
      </c>
      <c r="B109" t="s">
        <v>272</v>
      </c>
      <c r="C109" t="s">
        <v>292</v>
      </c>
      <c r="D109" t="s">
        <v>342</v>
      </c>
      <c r="E109" t="s">
        <v>474</v>
      </c>
      <c r="F109" t="s">
        <v>478</v>
      </c>
      <c r="G109" t="s">
        <v>485</v>
      </c>
      <c r="H109" t="s">
        <v>589</v>
      </c>
      <c r="I109">
        <v>49025</v>
      </c>
    </row>
    <row r="110" spans="1:9">
      <c r="A110" t="s">
        <v>117</v>
      </c>
      <c r="B110" t="s">
        <v>275</v>
      </c>
      <c r="C110" t="s">
        <v>285</v>
      </c>
      <c r="D110" t="s">
        <v>382</v>
      </c>
      <c r="E110" t="s">
        <v>469</v>
      </c>
      <c r="F110" t="s">
        <v>478</v>
      </c>
      <c r="G110" t="s">
        <v>482</v>
      </c>
      <c r="H110" t="s">
        <v>590</v>
      </c>
      <c r="I110">
        <v>177298</v>
      </c>
    </row>
    <row r="111" spans="1:9">
      <c r="A111" t="s">
        <v>118</v>
      </c>
      <c r="B111" t="s">
        <v>272</v>
      </c>
      <c r="C111" t="s">
        <v>282</v>
      </c>
      <c r="D111" t="s">
        <v>319</v>
      </c>
      <c r="E111" t="s">
        <v>470</v>
      </c>
      <c r="F111" t="s">
        <v>480</v>
      </c>
      <c r="G111" t="s">
        <v>482</v>
      </c>
      <c r="H111" t="s">
        <v>591</v>
      </c>
      <c r="I111">
        <v>166317</v>
      </c>
    </row>
    <row r="112" spans="1:9">
      <c r="A112" t="s">
        <v>119</v>
      </c>
      <c r="B112" t="s">
        <v>267</v>
      </c>
      <c r="C112" t="s">
        <v>278</v>
      </c>
      <c r="D112" t="s">
        <v>383</v>
      </c>
      <c r="E112" t="s">
        <v>468</v>
      </c>
      <c r="F112" t="s">
        <v>478</v>
      </c>
      <c r="G112" t="s">
        <v>483</v>
      </c>
      <c r="H112" t="s">
        <v>592</v>
      </c>
      <c r="I112">
        <v>78892</v>
      </c>
    </row>
    <row r="113" spans="1:9">
      <c r="A113" t="s">
        <v>120</v>
      </c>
      <c r="B113" t="s">
        <v>261</v>
      </c>
      <c r="C113" t="s">
        <v>278</v>
      </c>
      <c r="D113" t="s">
        <v>384</v>
      </c>
      <c r="E113" t="s">
        <v>474</v>
      </c>
      <c r="F113" t="s">
        <v>477</v>
      </c>
      <c r="G113" t="s">
        <v>481</v>
      </c>
      <c r="H113" t="s">
        <v>593</v>
      </c>
      <c r="I113">
        <v>247818</v>
      </c>
    </row>
    <row r="114" spans="1:9">
      <c r="A114" t="s">
        <v>121</v>
      </c>
      <c r="B114" t="s">
        <v>264</v>
      </c>
      <c r="C114" t="s">
        <v>290</v>
      </c>
      <c r="D114" t="s">
        <v>385</v>
      </c>
      <c r="E114" t="s">
        <v>471</v>
      </c>
      <c r="F114" t="s">
        <v>478</v>
      </c>
      <c r="G114" t="s">
        <v>482</v>
      </c>
      <c r="H114" t="s">
        <v>594</v>
      </c>
      <c r="I114">
        <v>164768</v>
      </c>
    </row>
    <row r="115" spans="1:9">
      <c r="A115" t="s">
        <v>122</v>
      </c>
      <c r="B115" t="s">
        <v>270</v>
      </c>
      <c r="C115" t="s">
        <v>289</v>
      </c>
      <c r="D115" t="s">
        <v>386</v>
      </c>
      <c r="E115" t="s">
        <v>469</v>
      </c>
      <c r="F115" t="s">
        <v>475</v>
      </c>
      <c r="G115" t="s">
        <v>485</v>
      </c>
      <c r="H115" t="s">
        <v>595</v>
      </c>
      <c r="I115">
        <v>54796</v>
      </c>
    </row>
    <row r="116" spans="1:9">
      <c r="A116" t="s">
        <v>123</v>
      </c>
      <c r="B116" t="s">
        <v>275</v>
      </c>
      <c r="C116" t="s">
        <v>281</v>
      </c>
      <c r="D116" t="s">
        <v>349</v>
      </c>
      <c r="E116" t="s">
        <v>474</v>
      </c>
      <c r="F116" t="s">
        <v>476</v>
      </c>
      <c r="G116" t="s">
        <v>483</v>
      </c>
      <c r="H116" t="s">
        <v>596</v>
      </c>
      <c r="I116">
        <v>99977</v>
      </c>
    </row>
    <row r="117" spans="1:9">
      <c r="A117" t="s">
        <v>124</v>
      </c>
      <c r="B117" t="s">
        <v>276</v>
      </c>
      <c r="C117" t="s">
        <v>278</v>
      </c>
      <c r="D117" t="s">
        <v>387</v>
      </c>
      <c r="E117" t="s">
        <v>469</v>
      </c>
      <c r="F117" t="s">
        <v>477</v>
      </c>
      <c r="G117" t="s">
        <v>485</v>
      </c>
      <c r="H117" t="s">
        <v>597</v>
      </c>
      <c r="I117">
        <v>56968</v>
      </c>
    </row>
    <row r="118" spans="1:9">
      <c r="A118" t="s">
        <v>125</v>
      </c>
      <c r="B118" t="s">
        <v>272</v>
      </c>
      <c r="C118" t="s">
        <v>287</v>
      </c>
      <c r="D118" t="s">
        <v>388</v>
      </c>
      <c r="E118" t="s">
        <v>473</v>
      </c>
      <c r="F118" t="s">
        <v>478</v>
      </c>
      <c r="G118" t="s">
        <v>484</v>
      </c>
      <c r="H118" t="s">
        <v>598</v>
      </c>
      <c r="I118">
        <v>122186</v>
      </c>
    </row>
    <row r="119" spans="1:9">
      <c r="A119" t="s">
        <v>126</v>
      </c>
      <c r="B119" t="s">
        <v>261</v>
      </c>
      <c r="C119" t="s">
        <v>284</v>
      </c>
      <c r="D119" t="s">
        <v>389</v>
      </c>
      <c r="E119" t="s">
        <v>472</v>
      </c>
      <c r="F119" t="s">
        <v>480</v>
      </c>
      <c r="G119" t="s">
        <v>483</v>
      </c>
      <c r="H119" t="s">
        <v>599</v>
      </c>
      <c r="I119">
        <v>88788</v>
      </c>
    </row>
    <row r="120" spans="1:9">
      <c r="A120" t="s">
        <v>127</v>
      </c>
      <c r="B120" t="s">
        <v>269</v>
      </c>
      <c r="C120" t="s">
        <v>277</v>
      </c>
      <c r="D120" t="s">
        <v>390</v>
      </c>
      <c r="E120" t="s">
        <v>468</v>
      </c>
      <c r="F120" t="s">
        <v>477</v>
      </c>
      <c r="G120" t="s">
        <v>484</v>
      </c>
      <c r="H120" t="s">
        <v>600</v>
      </c>
      <c r="I120">
        <v>121627</v>
      </c>
    </row>
    <row r="121" spans="1:9">
      <c r="A121" t="s">
        <v>128</v>
      </c>
      <c r="B121" t="s">
        <v>263</v>
      </c>
      <c r="C121" t="s">
        <v>287</v>
      </c>
      <c r="D121" t="s">
        <v>391</v>
      </c>
      <c r="E121" t="s">
        <v>468</v>
      </c>
      <c r="F121" t="s">
        <v>476</v>
      </c>
      <c r="G121" t="s">
        <v>481</v>
      </c>
      <c r="H121" t="s">
        <v>601</v>
      </c>
      <c r="I121">
        <v>238563</v>
      </c>
    </row>
    <row r="122" spans="1:9">
      <c r="A122" t="s">
        <v>129</v>
      </c>
      <c r="B122" t="s">
        <v>275</v>
      </c>
      <c r="C122" t="s">
        <v>286</v>
      </c>
      <c r="D122" t="s">
        <v>392</v>
      </c>
      <c r="E122" t="s">
        <v>471</v>
      </c>
      <c r="F122" t="s">
        <v>475</v>
      </c>
      <c r="G122" t="s">
        <v>482</v>
      </c>
      <c r="H122" t="s">
        <v>602</v>
      </c>
      <c r="I122">
        <v>174363</v>
      </c>
    </row>
    <row r="123" spans="1:9">
      <c r="A123" t="s">
        <v>130</v>
      </c>
      <c r="B123" t="s">
        <v>262</v>
      </c>
      <c r="C123" t="s">
        <v>279</v>
      </c>
      <c r="D123" t="s">
        <v>377</v>
      </c>
      <c r="E123" t="s">
        <v>471</v>
      </c>
      <c r="F123" t="s">
        <v>478</v>
      </c>
      <c r="G123" t="s">
        <v>483</v>
      </c>
      <c r="H123" t="s">
        <v>603</v>
      </c>
      <c r="I123">
        <v>79861</v>
      </c>
    </row>
    <row r="124" spans="1:9">
      <c r="A124" t="s">
        <v>131</v>
      </c>
      <c r="B124" t="s">
        <v>262</v>
      </c>
      <c r="C124" t="s">
        <v>281</v>
      </c>
      <c r="D124" t="s">
        <v>393</v>
      </c>
      <c r="E124" t="s">
        <v>470</v>
      </c>
      <c r="F124" t="s">
        <v>475</v>
      </c>
      <c r="G124" t="s">
        <v>484</v>
      </c>
      <c r="H124" t="s">
        <v>604</v>
      </c>
      <c r="I124">
        <v>106232</v>
      </c>
    </row>
    <row r="125" spans="1:9">
      <c r="A125" t="s">
        <v>132</v>
      </c>
      <c r="B125" t="s">
        <v>273</v>
      </c>
      <c r="C125" t="s">
        <v>286</v>
      </c>
      <c r="D125" t="s">
        <v>394</v>
      </c>
      <c r="E125" t="s">
        <v>474</v>
      </c>
      <c r="F125" t="s">
        <v>475</v>
      </c>
      <c r="G125" t="s">
        <v>482</v>
      </c>
      <c r="H125" t="s">
        <v>605</v>
      </c>
      <c r="I125">
        <v>150965</v>
      </c>
    </row>
    <row r="126" spans="1:9">
      <c r="A126" t="s">
        <v>133</v>
      </c>
      <c r="B126" t="s">
        <v>270</v>
      </c>
      <c r="C126" t="s">
        <v>284</v>
      </c>
      <c r="D126" t="s">
        <v>395</v>
      </c>
      <c r="E126" t="s">
        <v>474</v>
      </c>
      <c r="F126" t="s">
        <v>476</v>
      </c>
      <c r="G126" t="s">
        <v>485</v>
      </c>
      <c r="H126" t="s">
        <v>606</v>
      </c>
      <c r="I126">
        <v>56894</v>
      </c>
    </row>
    <row r="127" spans="1:9">
      <c r="A127" t="s">
        <v>134</v>
      </c>
      <c r="B127" t="s">
        <v>263</v>
      </c>
      <c r="C127" t="s">
        <v>280</v>
      </c>
      <c r="D127" t="s">
        <v>396</v>
      </c>
      <c r="E127" t="s">
        <v>474</v>
      </c>
      <c r="F127" t="s">
        <v>478</v>
      </c>
      <c r="G127" t="s">
        <v>482</v>
      </c>
      <c r="H127" t="s">
        <v>557</v>
      </c>
      <c r="I127">
        <v>161085</v>
      </c>
    </row>
    <row r="128" spans="1:9">
      <c r="A128" t="s">
        <v>135</v>
      </c>
      <c r="B128" t="s">
        <v>276</v>
      </c>
      <c r="C128" t="s">
        <v>284</v>
      </c>
      <c r="D128" t="s">
        <v>397</v>
      </c>
      <c r="E128" t="s">
        <v>468</v>
      </c>
      <c r="F128" t="s">
        <v>480</v>
      </c>
      <c r="G128" t="s">
        <v>483</v>
      </c>
      <c r="H128" t="s">
        <v>607</v>
      </c>
      <c r="I128">
        <v>87689</v>
      </c>
    </row>
    <row r="129" spans="1:9">
      <c r="A129" t="s">
        <v>136</v>
      </c>
      <c r="B129" t="s">
        <v>269</v>
      </c>
      <c r="C129" t="s">
        <v>289</v>
      </c>
      <c r="D129" t="s">
        <v>347</v>
      </c>
      <c r="E129" t="s">
        <v>468</v>
      </c>
      <c r="F129" t="s">
        <v>478</v>
      </c>
      <c r="G129" t="s">
        <v>484</v>
      </c>
      <c r="H129" t="s">
        <v>608</v>
      </c>
      <c r="I129">
        <v>133190</v>
      </c>
    </row>
    <row r="130" spans="1:9">
      <c r="A130" t="s">
        <v>137</v>
      </c>
      <c r="B130" t="s">
        <v>267</v>
      </c>
      <c r="C130" t="s">
        <v>292</v>
      </c>
      <c r="D130" t="s">
        <v>398</v>
      </c>
      <c r="E130" t="s">
        <v>474</v>
      </c>
      <c r="F130" t="s">
        <v>479</v>
      </c>
      <c r="G130" t="s">
        <v>483</v>
      </c>
      <c r="H130" t="s">
        <v>609</v>
      </c>
      <c r="I130">
        <v>84654</v>
      </c>
    </row>
    <row r="131" spans="1:9">
      <c r="A131" t="s">
        <v>138</v>
      </c>
      <c r="B131" t="s">
        <v>269</v>
      </c>
      <c r="C131" t="s">
        <v>284</v>
      </c>
      <c r="D131" t="s">
        <v>399</v>
      </c>
      <c r="E131" t="s">
        <v>473</v>
      </c>
      <c r="F131" t="s">
        <v>480</v>
      </c>
      <c r="G131" t="s">
        <v>481</v>
      </c>
      <c r="H131" t="s">
        <v>610</v>
      </c>
      <c r="I131">
        <v>227035</v>
      </c>
    </row>
    <row r="132" spans="1:9">
      <c r="A132" t="s">
        <v>139</v>
      </c>
      <c r="B132" t="s">
        <v>259</v>
      </c>
      <c r="C132" t="s">
        <v>279</v>
      </c>
      <c r="D132" t="s">
        <v>321</v>
      </c>
      <c r="E132" t="s">
        <v>474</v>
      </c>
      <c r="F132" t="s">
        <v>476</v>
      </c>
      <c r="G132" t="s">
        <v>482</v>
      </c>
      <c r="H132" t="s">
        <v>611</v>
      </c>
      <c r="I132">
        <v>144599</v>
      </c>
    </row>
    <row r="133" spans="1:9">
      <c r="A133" t="s">
        <v>140</v>
      </c>
      <c r="B133" t="s">
        <v>264</v>
      </c>
      <c r="C133" t="s">
        <v>279</v>
      </c>
      <c r="D133" t="s">
        <v>318</v>
      </c>
      <c r="E133" t="s">
        <v>473</v>
      </c>
      <c r="F133" t="s">
        <v>477</v>
      </c>
      <c r="G133" t="s">
        <v>481</v>
      </c>
      <c r="H133" t="s">
        <v>612</v>
      </c>
      <c r="I133">
        <v>215467</v>
      </c>
    </row>
    <row r="134" spans="1:9">
      <c r="A134" t="s">
        <v>141</v>
      </c>
      <c r="B134" t="s">
        <v>263</v>
      </c>
      <c r="C134" t="s">
        <v>279</v>
      </c>
      <c r="D134" t="s">
        <v>400</v>
      </c>
      <c r="E134" t="s">
        <v>474</v>
      </c>
      <c r="F134" t="s">
        <v>477</v>
      </c>
      <c r="G134" t="s">
        <v>484</v>
      </c>
      <c r="H134" t="s">
        <v>613</v>
      </c>
      <c r="I134">
        <v>124034</v>
      </c>
    </row>
    <row r="135" spans="1:9">
      <c r="A135" t="s">
        <v>142</v>
      </c>
      <c r="B135" t="s">
        <v>273</v>
      </c>
      <c r="C135" t="s">
        <v>277</v>
      </c>
      <c r="D135" t="s">
        <v>401</v>
      </c>
      <c r="E135" t="s">
        <v>470</v>
      </c>
      <c r="F135" t="s">
        <v>480</v>
      </c>
      <c r="G135" t="s">
        <v>481</v>
      </c>
      <c r="H135" t="s">
        <v>614</v>
      </c>
      <c r="I135">
        <v>235330</v>
      </c>
    </row>
    <row r="136" spans="1:9">
      <c r="A136" t="s">
        <v>143</v>
      </c>
      <c r="B136" t="s">
        <v>270</v>
      </c>
      <c r="C136" t="s">
        <v>284</v>
      </c>
      <c r="D136" t="s">
        <v>395</v>
      </c>
      <c r="E136" t="s">
        <v>471</v>
      </c>
      <c r="F136" t="s">
        <v>480</v>
      </c>
      <c r="G136" t="s">
        <v>485</v>
      </c>
      <c r="H136" t="s">
        <v>615</v>
      </c>
      <c r="I136">
        <v>57136</v>
      </c>
    </row>
    <row r="137" spans="1:9">
      <c r="A137" t="s">
        <v>144</v>
      </c>
      <c r="B137" t="s">
        <v>261</v>
      </c>
      <c r="C137" t="s">
        <v>278</v>
      </c>
      <c r="D137" t="s">
        <v>384</v>
      </c>
      <c r="E137" t="s">
        <v>472</v>
      </c>
      <c r="F137" t="s">
        <v>479</v>
      </c>
      <c r="G137" t="s">
        <v>483</v>
      </c>
      <c r="H137" t="s">
        <v>616</v>
      </c>
      <c r="I137">
        <v>91301</v>
      </c>
    </row>
    <row r="138" spans="1:9">
      <c r="A138" t="s">
        <v>145</v>
      </c>
      <c r="B138" t="s">
        <v>262</v>
      </c>
      <c r="C138" t="s">
        <v>291</v>
      </c>
      <c r="D138" t="s">
        <v>402</v>
      </c>
      <c r="E138" t="s">
        <v>471</v>
      </c>
      <c r="F138" t="s">
        <v>476</v>
      </c>
      <c r="G138" t="s">
        <v>482</v>
      </c>
      <c r="H138" t="s">
        <v>617</v>
      </c>
      <c r="I138">
        <v>175884</v>
      </c>
    </row>
    <row r="139" spans="1:9">
      <c r="A139" t="s">
        <v>146</v>
      </c>
      <c r="B139" t="s">
        <v>268</v>
      </c>
      <c r="C139" t="s">
        <v>292</v>
      </c>
      <c r="D139" t="s">
        <v>403</v>
      </c>
      <c r="E139" t="s">
        <v>473</v>
      </c>
      <c r="F139" t="s">
        <v>476</v>
      </c>
      <c r="G139" t="s">
        <v>482</v>
      </c>
      <c r="H139" t="s">
        <v>618</v>
      </c>
      <c r="I139">
        <v>153396</v>
      </c>
    </row>
    <row r="140" spans="1:9">
      <c r="A140" t="s">
        <v>147</v>
      </c>
      <c r="B140" t="s">
        <v>260</v>
      </c>
      <c r="C140" t="s">
        <v>291</v>
      </c>
      <c r="D140" t="s">
        <v>404</v>
      </c>
      <c r="E140" t="s">
        <v>472</v>
      </c>
      <c r="F140" t="s">
        <v>477</v>
      </c>
      <c r="G140" t="s">
        <v>483</v>
      </c>
      <c r="H140" t="s">
        <v>619</v>
      </c>
      <c r="I140">
        <v>92379</v>
      </c>
    </row>
    <row r="141" spans="1:9">
      <c r="A141" t="s">
        <v>148</v>
      </c>
      <c r="B141" t="s">
        <v>268</v>
      </c>
      <c r="C141" t="s">
        <v>279</v>
      </c>
      <c r="D141" t="s">
        <v>304</v>
      </c>
      <c r="E141" t="s">
        <v>473</v>
      </c>
      <c r="F141" t="s">
        <v>478</v>
      </c>
      <c r="G141" t="s">
        <v>485</v>
      </c>
      <c r="H141" t="s">
        <v>620</v>
      </c>
      <c r="I141">
        <v>48384</v>
      </c>
    </row>
    <row r="142" spans="1:9">
      <c r="A142" t="s">
        <v>149</v>
      </c>
      <c r="B142" t="s">
        <v>266</v>
      </c>
      <c r="C142" t="s">
        <v>285</v>
      </c>
      <c r="D142" t="s">
        <v>405</v>
      </c>
      <c r="E142" t="s">
        <v>474</v>
      </c>
      <c r="F142" t="s">
        <v>478</v>
      </c>
      <c r="G142" t="s">
        <v>484</v>
      </c>
      <c r="H142" t="s">
        <v>621</v>
      </c>
      <c r="I142">
        <v>110910</v>
      </c>
    </row>
    <row r="143" spans="1:9">
      <c r="A143" t="s">
        <v>150</v>
      </c>
      <c r="B143" t="s">
        <v>267</v>
      </c>
      <c r="C143" t="s">
        <v>285</v>
      </c>
      <c r="D143" t="s">
        <v>340</v>
      </c>
      <c r="E143" t="s">
        <v>474</v>
      </c>
      <c r="F143" t="s">
        <v>477</v>
      </c>
      <c r="G143" t="s">
        <v>481</v>
      </c>
      <c r="H143" t="s">
        <v>622</v>
      </c>
      <c r="I143">
        <v>193590</v>
      </c>
    </row>
    <row r="144" spans="1:9">
      <c r="A144" t="s">
        <v>151</v>
      </c>
      <c r="B144" t="s">
        <v>275</v>
      </c>
      <c r="C144" t="s">
        <v>291</v>
      </c>
      <c r="D144" t="s">
        <v>406</v>
      </c>
      <c r="E144" t="s">
        <v>469</v>
      </c>
      <c r="F144" t="s">
        <v>477</v>
      </c>
      <c r="G144" t="s">
        <v>483</v>
      </c>
      <c r="H144" t="s">
        <v>623</v>
      </c>
      <c r="I144">
        <v>71347</v>
      </c>
    </row>
    <row r="145" spans="1:9">
      <c r="A145" t="s">
        <v>152</v>
      </c>
      <c r="B145" t="s">
        <v>265</v>
      </c>
      <c r="C145" t="s">
        <v>289</v>
      </c>
      <c r="D145" t="s">
        <v>407</v>
      </c>
      <c r="E145" t="s">
        <v>473</v>
      </c>
      <c r="F145" t="s">
        <v>477</v>
      </c>
      <c r="G145" t="s">
        <v>483</v>
      </c>
      <c r="H145" t="s">
        <v>624</v>
      </c>
      <c r="I145">
        <v>87562</v>
      </c>
    </row>
    <row r="146" spans="1:9">
      <c r="A146" t="s">
        <v>153</v>
      </c>
      <c r="B146" t="s">
        <v>266</v>
      </c>
      <c r="C146" t="s">
        <v>284</v>
      </c>
      <c r="D146" t="s">
        <v>408</v>
      </c>
      <c r="E146" t="s">
        <v>470</v>
      </c>
      <c r="F146" t="s">
        <v>477</v>
      </c>
      <c r="G146" t="s">
        <v>483</v>
      </c>
      <c r="H146" t="s">
        <v>502</v>
      </c>
      <c r="I146">
        <v>82286</v>
      </c>
    </row>
    <row r="147" spans="1:9">
      <c r="A147" t="s">
        <v>154</v>
      </c>
      <c r="B147" t="s">
        <v>266</v>
      </c>
      <c r="C147" t="s">
        <v>288</v>
      </c>
      <c r="D147" t="s">
        <v>409</v>
      </c>
      <c r="E147" t="s">
        <v>471</v>
      </c>
      <c r="F147" t="s">
        <v>476</v>
      </c>
      <c r="G147" t="s">
        <v>485</v>
      </c>
      <c r="H147" t="s">
        <v>625</v>
      </c>
      <c r="I147">
        <v>59590</v>
      </c>
    </row>
    <row r="148" spans="1:9">
      <c r="A148" t="s">
        <v>155</v>
      </c>
      <c r="B148" t="s">
        <v>276</v>
      </c>
      <c r="C148" t="s">
        <v>283</v>
      </c>
      <c r="D148" t="s">
        <v>410</v>
      </c>
      <c r="E148" t="s">
        <v>471</v>
      </c>
      <c r="F148" t="s">
        <v>475</v>
      </c>
      <c r="G148" t="s">
        <v>483</v>
      </c>
      <c r="H148" t="s">
        <v>626</v>
      </c>
      <c r="I148">
        <v>91425</v>
      </c>
    </row>
    <row r="149" spans="1:9">
      <c r="A149" t="s">
        <v>156</v>
      </c>
      <c r="B149" t="s">
        <v>265</v>
      </c>
      <c r="C149" t="s">
        <v>288</v>
      </c>
      <c r="D149" t="s">
        <v>411</v>
      </c>
      <c r="E149" t="s">
        <v>468</v>
      </c>
      <c r="F149" t="s">
        <v>480</v>
      </c>
      <c r="G149" t="s">
        <v>482</v>
      </c>
      <c r="H149" t="s">
        <v>627</v>
      </c>
      <c r="I149">
        <v>155813</v>
      </c>
    </row>
    <row r="150" spans="1:9">
      <c r="A150" t="s">
        <v>157</v>
      </c>
      <c r="B150" t="s">
        <v>270</v>
      </c>
      <c r="C150" t="s">
        <v>277</v>
      </c>
      <c r="D150" t="s">
        <v>360</v>
      </c>
      <c r="E150" t="s">
        <v>473</v>
      </c>
      <c r="F150" t="s">
        <v>479</v>
      </c>
      <c r="G150" t="s">
        <v>481</v>
      </c>
      <c r="H150" t="s">
        <v>628</v>
      </c>
      <c r="I150">
        <v>208577</v>
      </c>
    </row>
    <row r="151" spans="1:9">
      <c r="A151" t="s">
        <v>158</v>
      </c>
      <c r="B151" t="s">
        <v>263</v>
      </c>
      <c r="C151" t="s">
        <v>282</v>
      </c>
      <c r="D151" t="s">
        <v>412</v>
      </c>
      <c r="E151" t="s">
        <v>471</v>
      </c>
      <c r="F151" t="s">
        <v>476</v>
      </c>
      <c r="G151" t="s">
        <v>483</v>
      </c>
      <c r="H151" t="s">
        <v>629</v>
      </c>
      <c r="I151">
        <v>89832</v>
      </c>
    </row>
    <row r="152" spans="1:9">
      <c r="A152" t="s">
        <v>159</v>
      </c>
      <c r="B152" t="s">
        <v>268</v>
      </c>
      <c r="C152" t="s">
        <v>287</v>
      </c>
      <c r="D152" t="s">
        <v>413</v>
      </c>
      <c r="E152" t="s">
        <v>472</v>
      </c>
      <c r="F152" t="s">
        <v>477</v>
      </c>
      <c r="G152" t="s">
        <v>483</v>
      </c>
      <c r="H152" t="s">
        <v>630</v>
      </c>
      <c r="I152">
        <v>91074</v>
      </c>
    </row>
    <row r="153" spans="1:9">
      <c r="A153" t="s">
        <v>160</v>
      </c>
      <c r="B153" t="s">
        <v>266</v>
      </c>
      <c r="C153" t="s">
        <v>290</v>
      </c>
      <c r="D153" t="s">
        <v>414</v>
      </c>
      <c r="E153" t="s">
        <v>468</v>
      </c>
      <c r="F153" t="s">
        <v>479</v>
      </c>
      <c r="G153" t="s">
        <v>482</v>
      </c>
      <c r="H153" t="s">
        <v>631</v>
      </c>
      <c r="I153">
        <v>146041</v>
      </c>
    </row>
    <row r="154" spans="1:9">
      <c r="A154" t="s">
        <v>161</v>
      </c>
      <c r="B154" t="s">
        <v>267</v>
      </c>
      <c r="C154" t="s">
        <v>288</v>
      </c>
      <c r="D154" t="s">
        <v>333</v>
      </c>
      <c r="E154" t="s">
        <v>472</v>
      </c>
      <c r="F154" t="s">
        <v>477</v>
      </c>
      <c r="G154" t="s">
        <v>484</v>
      </c>
      <c r="H154" t="s">
        <v>632</v>
      </c>
      <c r="I154">
        <v>127136</v>
      </c>
    </row>
    <row r="155" spans="1:9">
      <c r="A155" t="s">
        <v>162</v>
      </c>
      <c r="B155" t="s">
        <v>259</v>
      </c>
      <c r="C155" t="s">
        <v>286</v>
      </c>
      <c r="D155" t="s">
        <v>415</v>
      </c>
      <c r="E155" t="s">
        <v>473</v>
      </c>
      <c r="F155" t="s">
        <v>479</v>
      </c>
      <c r="G155" t="s">
        <v>485</v>
      </c>
      <c r="H155" t="s">
        <v>633</v>
      </c>
      <c r="I155">
        <v>49313</v>
      </c>
    </row>
    <row r="156" spans="1:9">
      <c r="A156" t="s">
        <v>163</v>
      </c>
      <c r="B156" t="s">
        <v>274</v>
      </c>
      <c r="C156" t="s">
        <v>283</v>
      </c>
      <c r="D156" t="s">
        <v>416</v>
      </c>
      <c r="E156" t="s">
        <v>472</v>
      </c>
      <c r="F156" t="s">
        <v>477</v>
      </c>
      <c r="G156" t="s">
        <v>481</v>
      </c>
      <c r="H156" t="s">
        <v>634</v>
      </c>
      <c r="I156">
        <v>249323</v>
      </c>
    </row>
    <row r="157" spans="1:9">
      <c r="A157" t="s">
        <v>164</v>
      </c>
      <c r="B157" t="s">
        <v>268</v>
      </c>
      <c r="C157" t="s">
        <v>290</v>
      </c>
      <c r="D157" t="s">
        <v>320</v>
      </c>
      <c r="E157" t="s">
        <v>468</v>
      </c>
      <c r="F157" t="s">
        <v>479</v>
      </c>
      <c r="G157" t="s">
        <v>482</v>
      </c>
      <c r="H157" t="s">
        <v>635</v>
      </c>
      <c r="I157">
        <v>147023</v>
      </c>
    </row>
    <row r="158" spans="1:9">
      <c r="A158" t="s">
        <v>165</v>
      </c>
      <c r="B158" t="s">
        <v>259</v>
      </c>
      <c r="C158" t="s">
        <v>291</v>
      </c>
      <c r="D158" t="s">
        <v>417</v>
      </c>
      <c r="E158" t="s">
        <v>473</v>
      </c>
      <c r="F158" t="s">
        <v>476</v>
      </c>
      <c r="G158" t="s">
        <v>484</v>
      </c>
      <c r="H158" t="s">
        <v>636</v>
      </c>
      <c r="I158">
        <v>105571</v>
      </c>
    </row>
    <row r="159" spans="1:9">
      <c r="A159" t="s">
        <v>166</v>
      </c>
      <c r="B159" t="s">
        <v>265</v>
      </c>
      <c r="C159" t="s">
        <v>277</v>
      </c>
      <c r="D159" t="s">
        <v>374</v>
      </c>
      <c r="E159" t="s">
        <v>472</v>
      </c>
      <c r="F159" t="s">
        <v>479</v>
      </c>
      <c r="G159" t="s">
        <v>485</v>
      </c>
      <c r="H159" t="s">
        <v>637</v>
      </c>
      <c r="I159">
        <v>50568</v>
      </c>
    </row>
    <row r="160" spans="1:9">
      <c r="A160" t="s">
        <v>167</v>
      </c>
      <c r="B160" t="s">
        <v>275</v>
      </c>
      <c r="C160" t="s">
        <v>282</v>
      </c>
      <c r="D160" t="s">
        <v>418</v>
      </c>
      <c r="E160" t="s">
        <v>468</v>
      </c>
      <c r="F160" t="s">
        <v>479</v>
      </c>
      <c r="G160" t="s">
        <v>483</v>
      </c>
      <c r="H160" t="s">
        <v>638</v>
      </c>
      <c r="I160">
        <v>85340</v>
      </c>
    </row>
    <row r="161" spans="1:9">
      <c r="A161" t="s">
        <v>168</v>
      </c>
      <c r="B161" t="s">
        <v>274</v>
      </c>
      <c r="C161" t="s">
        <v>280</v>
      </c>
      <c r="D161" t="s">
        <v>419</v>
      </c>
      <c r="E161" t="s">
        <v>474</v>
      </c>
      <c r="F161" t="s">
        <v>480</v>
      </c>
      <c r="G161" t="s">
        <v>481</v>
      </c>
      <c r="H161" t="s">
        <v>639</v>
      </c>
      <c r="I161">
        <v>192122</v>
      </c>
    </row>
    <row r="162" spans="1:9">
      <c r="A162" t="s">
        <v>169</v>
      </c>
      <c r="B162" t="s">
        <v>262</v>
      </c>
      <c r="C162" t="s">
        <v>288</v>
      </c>
      <c r="D162" t="s">
        <v>420</v>
      </c>
      <c r="E162" t="s">
        <v>468</v>
      </c>
      <c r="F162" t="s">
        <v>480</v>
      </c>
      <c r="G162" t="s">
        <v>482</v>
      </c>
      <c r="H162" t="s">
        <v>640</v>
      </c>
      <c r="I162">
        <v>152359</v>
      </c>
    </row>
    <row r="163" spans="1:9">
      <c r="A163" t="s">
        <v>170</v>
      </c>
      <c r="B163" t="s">
        <v>260</v>
      </c>
      <c r="C163" t="s">
        <v>289</v>
      </c>
      <c r="D163" t="s">
        <v>421</v>
      </c>
      <c r="E163" t="s">
        <v>473</v>
      </c>
      <c r="F163" t="s">
        <v>476</v>
      </c>
      <c r="G163" t="s">
        <v>481</v>
      </c>
      <c r="H163" t="s">
        <v>621</v>
      </c>
      <c r="I163">
        <v>225723</v>
      </c>
    </row>
    <row r="164" spans="1:9">
      <c r="A164" t="s">
        <v>171</v>
      </c>
      <c r="B164" t="s">
        <v>272</v>
      </c>
      <c r="C164" t="s">
        <v>284</v>
      </c>
      <c r="D164" t="s">
        <v>422</v>
      </c>
      <c r="E164" t="s">
        <v>474</v>
      </c>
      <c r="F164" t="s">
        <v>480</v>
      </c>
      <c r="G164" t="s">
        <v>481</v>
      </c>
      <c r="H164" t="s">
        <v>641</v>
      </c>
      <c r="I164">
        <v>249715</v>
      </c>
    </row>
    <row r="165" spans="1:9">
      <c r="A165" t="s">
        <v>172</v>
      </c>
      <c r="B165" t="s">
        <v>268</v>
      </c>
      <c r="C165" t="s">
        <v>291</v>
      </c>
      <c r="D165" t="s">
        <v>423</v>
      </c>
      <c r="E165" t="s">
        <v>469</v>
      </c>
      <c r="F165" t="s">
        <v>476</v>
      </c>
      <c r="G165" t="s">
        <v>481</v>
      </c>
      <c r="H165" t="s">
        <v>642</v>
      </c>
      <c r="I165">
        <v>257589</v>
      </c>
    </row>
    <row r="166" spans="1:9">
      <c r="A166" t="s">
        <v>173</v>
      </c>
      <c r="B166" t="s">
        <v>275</v>
      </c>
      <c r="C166" t="s">
        <v>284</v>
      </c>
      <c r="D166" t="s">
        <v>424</v>
      </c>
      <c r="E166" t="s">
        <v>471</v>
      </c>
      <c r="F166" t="s">
        <v>477</v>
      </c>
      <c r="G166" t="s">
        <v>484</v>
      </c>
      <c r="H166" t="s">
        <v>643</v>
      </c>
      <c r="I166">
        <v>128478</v>
      </c>
    </row>
    <row r="167" spans="1:9">
      <c r="A167" t="s">
        <v>174</v>
      </c>
      <c r="B167" t="s">
        <v>267</v>
      </c>
      <c r="C167" t="s">
        <v>289</v>
      </c>
      <c r="D167" t="s">
        <v>425</v>
      </c>
      <c r="E167" t="s">
        <v>473</v>
      </c>
      <c r="F167" t="s">
        <v>478</v>
      </c>
      <c r="G167" t="s">
        <v>481</v>
      </c>
      <c r="H167" t="s">
        <v>644</v>
      </c>
      <c r="I167">
        <v>255944</v>
      </c>
    </row>
    <row r="168" spans="1:9">
      <c r="A168" t="s">
        <v>175</v>
      </c>
      <c r="B168" t="s">
        <v>266</v>
      </c>
      <c r="C168" t="s">
        <v>284</v>
      </c>
      <c r="D168" t="s">
        <v>408</v>
      </c>
      <c r="E168" t="s">
        <v>469</v>
      </c>
      <c r="F168" t="s">
        <v>477</v>
      </c>
      <c r="G168" t="s">
        <v>483</v>
      </c>
      <c r="H168" t="s">
        <v>645</v>
      </c>
      <c r="I168">
        <v>74610</v>
      </c>
    </row>
    <row r="169" spans="1:9">
      <c r="A169" t="s">
        <v>176</v>
      </c>
      <c r="B169" t="s">
        <v>259</v>
      </c>
      <c r="C169" t="s">
        <v>281</v>
      </c>
      <c r="D169" t="s">
        <v>426</v>
      </c>
      <c r="E169" t="s">
        <v>468</v>
      </c>
      <c r="F169" t="s">
        <v>479</v>
      </c>
      <c r="G169" t="s">
        <v>483</v>
      </c>
      <c r="H169" t="s">
        <v>646</v>
      </c>
      <c r="I169">
        <v>86198</v>
      </c>
    </row>
    <row r="170" spans="1:9">
      <c r="A170" t="s">
        <v>177</v>
      </c>
      <c r="B170" t="s">
        <v>267</v>
      </c>
      <c r="C170" t="s">
        <v>283</v>
      </c>
      <c r="D170" t="s">
        <v>427</v>
      </c>
      <c r="E170" t="s">
        <v>473</v>
      </c>
      <c r="F170" t="s">
        <v>475</v>
      </c>
      <c r="G170" t="s">
        <v>484</v>
      </c>
      <c r="H170" t="s">
        <v>491</v>
      </c>
      <c r="I170">
        <v>126606</v>
      </c>
    </row>
    <row r="171" spans="1:9">
      <c r="A171" t="s">
        <v>178</v>
      </c>
      <c r="B171" t="s">
        <v>269</v>
      </c>
      <c r="C171" t="s">
        <v>282</v>
      </c>
      <c r="D171" t="s">
        <v>428</v>
      </c>
      <c r="E171" t="s">
        <v>470</v>
      </c>
      <c r="F171" t="s">
        <v>478</v>
      </c>
      <c r="G171" t="s">
        <v>482</v>
      </c>
      <c r="H171" t="s">
        <v>647</v>
      </c>
      <c r="I171">
        <v>153131</v>
      </c>
    </row>
    <row r="172" spans="1:9">
      <c r="A172" t="s">
        <v>179</v>
      </c>
      <c r="B172" t="s">
        <v>266</v>
      </c>
      <c r="C172" t="s">
        <v>280</v>
      </c>
      <c r="D172" t="s">
        <v>369</v>
      </c>
      <c r="E172" t="s">
        <v>473</v>
      </c>
      <c r="F172" t="s">
        <v>476</v>
      </c>
      <c r="G172" t="s">
        <v>484</v>
      </c>
      <c r="H172" t="s">
        <v>648</v>
      </c>
      <c r="I172">
        <v>134674</v>
      </c>
    </row>
    <row r="173" spans="1:9">
      <c r="A173" t="s">
        <v>180</v>
      </c>
      <c r="B173" t="s">
        <v>272</v>
      </c>
      <c r="C173" t="s">
        <v>290</v>
      </c>
      <c r="D173" t="s">
        <v>429</v>
      </c>
      <c r="E173" t="s">
        <v>470</v>
      </c>
      <c r="F173" t="s">
        <v>475</v>
      </c>
      <c r="G173" t="s">
        <v>485</v>
      </c>
      <c r="H173" t="s">
        <v>649</v>
      </c>
      <c r="I173">
        <v>48775</v>
      </c>
    </row>
    <row r="174" spans="1:9">
      <c r="A174" t="s">
        <v>181</v>
      </c>
      <c r="B174" t="s">
        <v>268</v>
      </c>
      <c r="C174" t="s">
        <v>288</v>
      </c>
      <c r="D174" t="s">
        <v>313</v>
      </c>
      <c r="E174" t="s">
        <v>473</v>
      </c>
      <c r="F174" t="s">
        <v>476</v>
      </c>
      <c r="G174" t="s">
        <v>483</v>
      </c>
      <c r="H174" t="s">
        <v>650</v>
      </c>
      <c r="I174">
        <v>76147</v>
      </c>
    </row>
    <row r="175" spans="1:9">
      <c r="A175" t="s">
        <v>182</v>
      </c>
      <c r="B175" t="s">
        <v>264</v>
      </c>
      <c r="C175" t="s">
        <v>285</v>
      </c>
      <c r="D175" t="s">
        <v>302</v>
      </c>
      <c r="E175" t="s">
        <v>468</v>
      </c>
      <c r="F175" t="s">
        <v>476</v>
      </c>
      <c r="G175" t="s">
        <v>482</v>
      </c>
      <c r="H175" t="s">
        <v>613</v>
      </c>
      <c r="I175">
        <v>172564</v>
      </c>
    </row>
    <row r="176" spans="1:9">
      <c r="A176" t="s">
        <v>183</v>
      </c>
      <c r="B176" t="s">
        <v>264</v>
      </c>
      <c r="C176" t="s">
        <v>286</v>
      </c>
      <c r="D176" t="s">
        <v>430</v>
      </c>
      <c r="E176" t="s">
        <v>471</v>
      </c>
      <c r="F176" t="s">
        <v>476</v>
      </c>
      <c r="G176" t="s">
        <v>481</v>
      </c>
      <c r="H176" t="s">
        <v>651</v>
      </c>
      <c r="I176">
        <v>240304</v>
      </c>
    </row>
    <row r="177" spans="1:9">
      <c r="A177" t="s">
        <v>184</v>
      </c>
      <c r="B177" t="s">
        <v>271</v>
      </c>
      <c r="C177" t="s">
        <v>279</v>
      </c>
      <c r="D177" t="s">
        <v>343</v>
      </c>
      <c r="E177" t="s">
        <v>468</v>
      </c>
      <c r="F177" t="s">
        <v>478</v>
      </c>
      <c r="G177" t="s">
        <v>481</v>
      </c>
      <c r="H177" t="s">
        <v>652</v>
      </c>
      <c r="I177">
        <v>199405</v>
      </c>
    </row>
    <row r="178" spans="1:9">
      <c r="A178" t="s">
        <v>185</v>
      </c>
      <c r="B178" t="s">
        <v>270</v>
      </c>
      <c r="C178" t="s">
        <v>290</v>
      </c>
      <c r="D178" t="s">
        <v>381</v>
      </c>
      <c r="E178" t="s">
        <v>468</v>
      </c>
      <c r="F178" t="s">
        <v>475</v>
      </c>
      <c r="G178" t="s">
        <v>482</v>
      </c>
      <c r="H178" t="s">
        <v>653</v>
      </c>
      <c r="I178">
        <v>151851</v>
      </c>
    </row>
    <row r="179" spans="1:9">
      <c r="A179" t="s">
        <v>186</v>
      </c>
      <c r="B179" t="s">
        <v>269</v>
      </c>
      <c r="C179" t="s">
        <v>278</v>
      </c>
      <c r="D179" t="s">
        <v>431</v>
      </c>
      <c r="E179" t="s">
        <v>471</v>
      </c>
      <c r="F179" t="s">
        <v>476</v>
      </c>
      <c r="G179" t="s">
        <v>481</v>
      </c>
      <c r="H179" t="s">
        <v>654</v>
      </c>
      <c r="I179">
        <v>197924</v>
      </c>
    </row>
    <row r="180" spans="1:9">
      <c r="A180" t="s">
        <v>187</v>
      </c>
      <c r="B180" t="s">
        <v>267</v>
      </c>
      <c r="C180" t="s">
        <v>290</v>
      </c>
      <c r="D180" t="s">
        <v>432</v>
      </c>
      <c r="E180" t="s">
        <v>471</v>
      </c>
      <c r="F180" t="s">
        <v>477</v>
      </c>
      <c r="G180" t="s">
        <v>485</v>
      </c>
      <c r="H180" t="s">
        <v>655</v>
      </c>
      <c r="I180">
        <v>49821</v>
      </c>
    </row>
    <row r="181" spans="1:9">
      <c r="A181" t="s">
        <v>188</v>
      </c>
      <c r="B181" t="s">
        <v>260</v>
      </c>
      <c r="C181" t="s">
        <v>285</v>
      </c>
      <c r="D181" t="s">
        <v>433</v>
      </c>
      <c r="E181" t="s">
        <v>474</v>
      </c>
      <c r="F181" t="s">
        <v>476</v>
      </c>
      <c r="G181" t="s">
        <v>484</v>
      </c>
      <c r="H181" t="s">
        <v>656</v>
      </c>
      <c r="I181">
        <v>116134</v>
      </c>
    </row>
    <row r="182" spans="1:9">
      <c r="A182" t="s">
        <v>189</v>
      </c>
      <c r="B182" t="s">
        <v>262</v>
      </c>
      <c r="C182" t="s">
        <v>286</v>
      </c>
      <c r="D182" t="s">
        <v>434</v>
      </c>
      <c r="E182" t="s">
        <v>470</v>
      </c>
      <c r="F182" t="s">
        <v>479</v>
      </c>
      <c r="G182" t="s">
        <v>484</v>
      </c>
      <c r="H182" t="s">
        <v>657</v>
      </c>
      <c r="I182">
        <v>129660</v>
      </c>
    </row>
    <row r="183" spans="1:9">
      <c r="A183" t="s">
        <v>190</v>
      </c>
      <c r="B183" t="s">
        <v>269</v>
      </c>
      <c r="C183" t="s">
        <v>279</v>
      </c>
      <c r="D183" t="s">
        <v>435</v>
      </c>
      <c r="E183" t="s">
        <v>469</v>
      </c>
      <c r="F183" t="s">
        <v>477</v>
      </c>
      <c r="G183" t="s">
        <v>482</v>
      </c>
      <c r="H183" t="s">
        <v>658</v>
      </c>
      <c r="I183">
        <v>163151</v>
      </c>
    </row>
    <row r="184" spans="1:9">
      <c r="A184" t="s">
        <v>191</v>
      </c>
      <c r="B184" t="s">
        <v>271</v>
      </c>
      <c r="C184" t="s">
        <v>284</v>
      </c>
      <c r="D184" t="s">
        <v>341</v>
      </c>
      <c r="E184" t="s">
        <v>473</v>
      </c>
      <c r="F184" t="s">
        <v>475</v>
      </c>
      <c r="G184" t="s">
        <v>483</v>
      </c>
      <c r="H184" t="s">
        <v>659</v>
      </c>
      <c r="I184">
        <v>83220</v>
      </c>
    </row>
    <row r="185" spans="1:9">
      <c r="A185" t="s">
        <v>192</v>
      </c>
      <c r="B185" t="s">
        <v>263</v>
      </c>
      <c r="C185" t="s">
        <v>281</v>
      </c>
      <c r="D185" t="s">
        <v>436</v>
      </c>
      <c r="E185" t="s">
        <v>471</v>
      </c>
      <c r="F185" t="s">
        <v>479</v>
      </c>
      <c r="G185" t="s">
        <v>482</v>
      </c>
      <c r="H185" t="s">
        <v>660</v>
      </c>
      <c r="I185">
        <v>144575</v>
      </c>
    </row>
    <row r="186" spans="1:9">
      <c r="A186" t="s">
        <v>193</v>
      </c>
      <c r="B186" t="s">
        <v>268</v>
      </c>
      <c r="C186" t="s">
        <v>287</v>
      </c>
      <c r="D186" t="s">
        <v>413</v>
      </c>
      <c r="E186" t="s">
        <v>471</v>
      </c>
      <c r="F186" t="s">
        <v>477</v>
      </c>
      <c r="G186" t="s">
        <v>482</v>
      </c>
      <c r="H186" t="s">
        <v>661</v>
      </c>
      <c r="I186">
        <v>162091</v>
      </c>
    </row>
    <row r="187" spans="1:9">
      <c r="A187" t="s">
        <v>194</v>
      </c>
      <c r="B187" t="s">
        <v>273</v>
      </c>
      <c r="C187" t="s">
        <v>284</v>
      </c>
      <c r="D187" t="s">
        <v>322</v>
      </c>
      <c r="E187" t="s">
        <v>474</v>
      </c>
      <c r="F187" t="s">
        <v>480</v>
      </c>
      <c r="G187" t="s">
        <v>484</v>
      </c>
      <c r="H187" t="s">
        <v>662</v>
      </c>
      <c r="I187">
        <v>127684</v>
      </c>
    </row>
    <row r="188" spans="1:9">
      <c r="A188" t="s">
        <v>195</v>
      </c>
      <c r="B188" t="s">
        <v>268</v>
      </c>
      <c r="C188" t="s">
        <v>283</v>
      </c>
      <c r="D188" t="s">
        <v>365</v>
      </c>
      <c r="E188" t="s">
        <v>468</v>
      </c>
      <c r="F188" t="s">
        <v>478</v>
      </c>
      <c r="G188" t="s">
        <v>485</v>
      </c>
      <c r="H188" t="s">
        <v>663</v>
      </c>
      <c r="I188">
        <v>47812</v>
      </c>
    </row>
    <row r="189" spans="1:9">
      <c r="A189" t="s">
        <v>196</v>
      </c>
      <c r="B189" t="s">
        <v>273</v>
      </c>
      <c r="C189" t="s">
        <v>289</v>
      </c>
      <c r="D189" t="s">
        <v>437</v>
      </c>
      <c r="E189" t="s">
        <v>473</v>
      </c>
      <c r="F189" t="s">
        <v>477</v>
      </c>
      <c r="G189" t="s">
        <v>482</v>
      </c>
      <c r="H189" t="s">
        <v>664</v>
      </c>
      <c r="I189">
        <v>142400</v>
      </c>
    </row>
    <row r="190" spans="1:9">
      <c r="A190" t="s">
        <v>197</v>
      </c>
      <c r="B190" t="s">
        <v>272</v>
      </c>
      <c r="C190" t="s">
        <v>291</v>
      </c>
      <c r="D190" t="s">
        <v>438</v>
      </c>
      <c r="E190" t="s">
        <v>474</v>
      </c>
      <c r="F190" t="s">
        <v>477</v>
      </c>
      <c r="G190" t="s">
        <v>485</v>
      </c>
      <c r="H190" t="s">
        <v>665</v>
      </c>
      <c r="I190">
        <v>61081</v>
      </c>
    </row>
    <row r="191" spans="1:9">
      <c r="A191" t="s">
        <v>198</v>
      </c>
      <c r="B191" t="s">
        <v>261</v>
      </c>
      <c r="C191" t="s">
        <v>282</v>
      </c>
      <c r="D191" t="s">
        <v>439</v>
      </c>
      <c r="E191" t="s">
        <v>471</v>
      </c>
      <c r="F191" t="s">
        <v>476</v>
      </c>
      <c r="G191" t="s">
        <v>483</v>
      </c>
      <c r="H191" t="s">
        <v>666</v>
      </c>
      <c r="I191">
        <v>96644</v>
      </c>
    </row>
    <row r="192" spans="1:9">
      <c r="A192" t="s">
        <v>199</v>
      </c>
      <c r="B192" t="s">
        <v>273</v>
      </c>
      <c r="C192" t="s">
        <v>283</v>
      </c>
      <c r="D192" t="s">
        <v>324</v>
      </c>
      <c r="E192" t="s">
        <v>471</v>
      </c>
      <c r="F192" t="s">
        <v>476</v>
      </c>
      <c r="G192" t="s">
        <v>482</v>
      </c>
      <c r="H192" t="s">
        <v>667</v>
      </c>
      <c r="I192">
        <v>165504</v>
      </c>
    </row>
    <row r="193" spans="1:9">
      <c r="A193" t="s">
        <v>200</v>
      </c>
      <c r="B193" t="s">
        <v>266</v>
      </c>
      <c r="C193" t="s">
        <v>292</v>
      </c>
      <c r="D193" t="s">
        <v>440</v>
      </c>
      <c r="E193" t="s">
        <v>468</v>
      </c>
      <c r="F193" t="s">
        <v>477</v>
      </c>
      <c r="G193" t="s">
        <v>485</v>
      </c>
      <c r="H193" t="s">
        <v>668</v>
      </c>
      <c r="I193">
        <v>56022</v>
      </c>
    </row>
    <row r="194" spans="1:9">
      <c r="A194" t="s">
        <v>201</v>
      </c>
      <c r="B194" t="s">
        <v>259</v>
      </c>
      <c r="C194" t="s">
        <v>290</v>
      </c>
      <c r="D194" t="s">
        <v>355</v>
      </c>
      <c r="E194" t="s">
        <v>472</v>
      </c>
      <c r="F194" t="s">
        <v>476</v>
      </c>
      <c r="G194" t="s">
        <v>485</v>
      </c>
      <c r="H194" t="s">
        <v>669</v>
      </c>
      <c r="I194">
        <v>57825</v>
      </c>
    </row>
    <row r="195" spans="1:9">
      <c r="A195" t="s">
        <v>202</v>
      </c>
      <c r="B195" t="s">
        <v>266</v>
      </c>
      <c r="C195" t="s">
        <v>292</v>
      </c>
      <c r="D195" t="s">
        <v>440</v>
      </c>
      <c r="E195" t="s">
        <v>474</v>
      </c>
      <c r="F195" t="s">
        <v>478</v>
      </c>
      <c r="G195" t="s">
        <v>481</v>
      </c>
      <c r="H195" t="s">
        <v>670</v>
      </c>
      <c r="I195">
        <v>198797</v>
      </c>
    </row>
    <row r="196" spans="1:9">
      <c r="A196" t="s">
        <v>203</v>
      </c>
      <c r="B196" t="s">
        <v>263</v>
      </c>
      <c r="C196" t="s">
        <v>279</v>
      </c>
      <c r="D196" t="s">
        <v>400</v>
      </c>
      <c r="E196" t="s">
        <v>471</v>
      </c>
      <c r="F196" t="s">
        <v>475</v>
      </c>
      <c r="G196" t="s">
        <v>485</v>
      </c>
      <c r="H196" t="s">
        <v>671</v>
      </c>
      <c r="I196">
        <v>57966</v>
      </c>
    </row>
    <row r="197" spans="1:9">
      <c r="A197" t="s">
        <v>204</v>
      </c>
      <c r="B197" t="s">
        <v>259</v>
      </c>
      <c r="C197" t="s">
        <v>284</v>
      </c>
      <c r="D197" t="s">
        <v>441</v>
      </c>
      <c r="E197" t="s">
        <v>472</v>
      </c>
      <c r="F197" t="s">
        <v>478</v>
      </c>
      <c r="G197" t="s">
        <v>485</v>
      </c>
      <c r="H197" t="s">
        <v>672</v>
      </c>
      <c r="I197">
        <v>51149</v>
      </c>
    </row>
    <row r="198" spans="1:9">
      <c r="A198" t="s">
        <v>205</v>
      </c>
      <c r="B198" t="s">
        <v>260</v>
      </c>
      <c r="C198" t="s">
        <v>280</v>
      </c>
      <c r="D198" t="s">
        <v>442</v>
      </c>
      <c r="E198" t="s">
        <v>472</v>
      </c>
      <c r="F198" t="s">
        <v>477</v>
      </c>
      <c r="G198" t="s">
        <v>482</v>
      </c>
      <c r="H198" t="s">
        <v>673</v>
      </c>
      <c r="I198">
        <v>160537</v>
      </c>
    </row>
    <row r="199" spans="1:9">
      <c r="A199" t="s">
        <v>206</v>
      </c>
      <c r="B199" t="s">
        <v>271</v>
      </c>
      <c r="C199" t="s">
        <v>288</v>
      </c>
      <c r="D199" t="s">
        <v>443</v>
      </c>
      <c r="E199" t="s">
        <v>468</v>
      </c>
      <c r="F199" t="s">
        <v>480</v>
      </c>
      <c r="G199" t="s">
        <v>481</v>
      </c>
      <c r="H199" t="s">
        <v>674</v>
      </c>
      <c r="I199">
        <v>191222</v>
      </c>
    </row>
    <row r="200" spans="1:9">
      <c r="A200" t="s">
        <v>207</v>
      </c>
      <c r="B200" t="s">
        <v>264</v>
      </c>
      <c r="C200" t="s">
        <v>292</v>
      </c>
      <c r="D200" t="s">
        <v>379</v>
      </c>
      <c r="E200" t="s">
        <v>468</v>
      </c>
      <c r="F200" t="s">
        <v>476</v>
      </c>
      <c r="G200" t="s">
        <v>483</v>
      </c>
      <c r="H200" t="s">
        <v>675</v>
      </c>
      <c r="I200">
        <v>76318</v>
      </c>
    </row>
    <row r="201" spans="1:9">
      <c r="A201" t="s">
        <v>208</v>
      </c>
      <c r="B201" t="s">
        <v>262</v>
      </c>
      <c r="C201" t="s">
        <v>286</v>
      </c>
      <c r="D201" t="s">
        <v>434</v>
      </c>
      <c r="E201" t="s">
        <v>471</v>
      </c>
      <c r="F201" t="s">
        <v>478</v>
      </c>
      <c r="G201" t="s">
        <v>484</v>
      </c>
      <c r="H201" t="s">
        <v>676</v>
      </c>
      <c r="I201">
        <v>122253</v>
      </c>
    </row>
    <row r="202" spans="1:9">
      <c r="A202" t="s">
        <v>209</v>
      </c>
      <c r="B202" t="s">
        <v>266</v>
      </c>
      <c r="C202" t="s">
        <v>291</v>
      </c>
      <c r="D202" t="s">
        <v>444</v>
      </c>
      <c r="E202" t="s">
        <v>468</v>
      </c>
      <c r="F202" t="s">
        <v>476</v>
      </c>
      <c r="G202" t="s">
        <v>484</v>
      </c>
      <c r="H202" t="s">
        <v>677</v>
      </c>
      <c r="I202">
        <v>133523</v>
      </c>
    </row>
    <row r="203" spans="1:9">
      <c r="A203" t="s">
        <v>210</v>
      </c>
      <c r="B203" t="s">
        <v>262</v>
      </c>
      <c r="C203" t="s">
        <v>289</v>
      </c>
      <c r="D203" t="s">
        <v>445</v>
      </c>
      <c r="E203" t="s">
        <v>471</v>
      </c>
      <c r="F203" t="s">
        <v>478</v>
      </c>
      <c r="G203" t="s">
        <v>483</v>
      </c>
      <c r="H203" t="s">
        <v>678</v>
      </c>
      <c r="I203">
        <v>82755</v>
      </c>
    </row>
    <row r="204" spans="1:9">
      <c r="A204" t="s">
        <v>211</v>
      </c>
      <c r="B204" t="s">
        <v>270</v>
      </c>
      <c r="C204" t="s">
        <v>278</v>
      </c>
      <c r="D204" t="s">
        <v>446</v>
      </c>
      <c r="E204" t="s">
        <v>472</v>
      </c>
      <c r="F204" t="s">
        <v>478</v>
      </c>
      <c r="G204" t="s">
        <v>485</v>
      </c>
      <c r="H204" t="s">
        <v>679</v>
      </c>
      <c r="I204">
        <v>56062</v>
      </c>
    </row>
    <row r="205" spans="1:9">
      <c r="A205" t="s">
        <v>212</v>
      </c>
      <c r="B205" t="s">
        <v>263</v>
      </c>
      <c r="C205" t="s">
        <v>277</v>
      </c>
      <c r="D205" t="s">
        <v>297</v>
      </c>
      <c r="E205" t="s">
        <v>474</v>
      </c>
      <c r="F205" t="s">
        <v>479</v>
      </c>
      <c r="G205" t="s">
        <v>484</v>
      </c>
      <c r="H205" t="s">
        <v>680</v>
      </c>
      <c r="I205">
        <v>111996</v>
      </c>
    </row>
    <row r="206" spans="1:9">
      <c r="A206" t="s">
        <v>213</v>
      </c>
      <c r="B206" t="s">
        <v>271</v>
      </c>
      <c r="C206" t="s">
        <v>278</v>
      </c>
      <c r="D206" t="s">
        <v>447</v>
      </c>
      <c r="E206" t="s">
        <v>473</v>
      </c>
      <c r="F206" t="s">
        <v>479</v>
      </c>
      <c r="G206" t="s">
        <v>482</v>
      </c>
      <c r="H206" t="s">
        <v>681</v>
      </c>
      <c r="I206">
        <v>157404</v>
      </c>
    </row>
    <row r="207" spans="1:9">
      <c r="A207" t="s">
        <v>214</v>
      </c>
      <c r="B207" t="s">
        <v>274</v>
      </c>
      <c r="C207" t="s">
        <v>279</v>
      </c>
      <c r="D207" t="s">
        <v>448</v>
      </c>
      <c r="E207" t="s">
        <v>471</v>
      </c>
      <c r="F207" t="s">
        <v>478</v>
      </c>
      <c r="G207" t="s">
        <v>483</v>
      </c>
      <c r="H207" t="s">
        <v>682</v>
      </c>
      <c r="I207">
        <v>81177</v>
      </c>
    </row>
    <row r="208" spans="1:9">
      <c r="A208" t="s">
        <v>215</v>
      </c>
      <c r="B208" t="s">
        <v>266</v>
      </c>
      <c r="C208" t="s">
        <v>292</v>
      </c>
      <c r="D208" t="s">
        <v>440</v>
      </c>
      <c r="E208" t="s">
        <v>471</v>
      </c>
      <c r="F208" t="s">
        <v>480</v>
      </c>
      <c r="G208" t="s">
        <v>482</v>
      </c>
      <c r="H208" t="s">
        <v>683</v>
      </c>
      <c r="I208">
        <v>164932</v>
      </c>
    </row>
    <row r="209" spans="1:9">
      <c r="A209" t="s">
        <v>216</v>
      </c>
      <c r="B209" t="s">
        <v>260</v>
      </c>
      <c r="C209" t="s">
        <v>289</v>
      </c>
      <c r="D209" t="s">
        <v>421</v>
      </c>
      <c r="E209" t="s">
        <v>473</v>
      </c>
      <c r="F209" t="s">
        <v>480</v>
      </c>
      <c r="G209" t="s">
        <v>485</v>
      </c>
      <c r="H209" t="s">
        <v>684</v>
      </c>
      <c r="I209">
        <v>56966</v>
      </c>
    </row>
    <row r="210" spans="1:9">
      <c r="A210" t="s">
        <v>217</v>
      </c>
      <c r="B210" t="s">
        <v>264</v>
      </c>
      <c r="C210" t="s">
        <v>287</v>
      </c>
      <c r="D210" t="s">
        <v>449</v>
      </c>
      <c r="E210" t="s">
        <v>468</v>
      </c>
      <c r="F210" t="s">
        <v>478</v>
      </c>
      <c r="G210" t="s">
        <v>484</v>
      </c>
      <c r="H210" t="s">
        <v>685</v>
      </c>
      <c r="I210">
        <v>113949</v>
      </c>
    </row>
    <row r="211" spans="1:9">
      <c r="A211" t="s">
        <v>218</v>
      </c>
      <c r="B211" t="s">
        <v>269</v>
      </c>
      <c r="C211" t="s">
        <v>278</v>
      </c>
      <c r="D211" t="s">
        <v>431</v>
      </c>
      <c r="E211" t="s">
        <v>471</v>
      </c>
      <c r="F211" t="s">
        <v>480</v>
      </c>
      <c r="G211" t="s">
        <v>485</v>
      </c>
      <c r="H211" t="s">
        <v>686</v>
      </c>
      <c r="I211">
        <v>53510</v>
      </c>
    </row>
    <row r="212" spans="1:9">
      <c r="A212" t="s">
        <v>219</v>
      </c>
      <c r="B212" t="s">
        <v>266</v>
      </c>
      <c r="C212" t="s">
        <v>280</v>
      </c>
      <c r="D212" t="s">
        <v>369</v>
      </c>
      <c r="E212" t="s">
        <v>468</v>
      </c>
      <c r="F212" t="s">
        <v>476</v>
      </c>
      <c r="G212" t="s">
        <v>485</v>
      </c>
      <c r="H212" t="s">
        <v>687</v>
      </c>
      <c r="I212">
        <v>52206</v>
      </c>
    </row>
    <row r="213" spans="1:9">
      <c r="A213" t="s">
        <v>220</v>
      </c>
      <c r="B213" t="s">
        <v>262</v>
      </c>
      <c r="C213" t="s">
        <v>283</v>
      </c>
      <c r="D213" t="s">
        <v>310</v>
      </c>
      <c r="E213" t="s">
        <v>471</v>
      </c>
      <c r="F213" t="s">
        <v>477</v>
      </c>
      <c r="G213" t="s">
        <v>483</v>
      </c>
      <c r="H213" t="s">
        <v>688</v>
      </c>
      <c r="I213">
        <v>71549</v>
      </c>
    </row>
    <row r="214" spans="1:9">
      <c r="A214" t="s">
        <v>221</v>
      </c>
      <c r="B214" t="s">
        <v>270</v>
      </c>
      <c r="C214" t="s">
        <v>292</v>
      </c>
      <c r="D214" t="s">
        <v>371</v>
      </c>
      <c r="E214" t="s">
        <v>472</v>
      </c>
      <c r="F214" t="s">
        <v>480</v>
      </c>
      <c r="G214" t="s">
        <v>481</v>
      </c>
      <c r="H214" t="s">
        <v>689</v>
      </c>
      <c r="I214">
        <v>220873</v>
      </c>
    </row>
    <row r="215" spans="1:9">
      <c r="A215" t="s">
        <v>222</v>
      </c>
      <c r="B215" t="s">
        <v>272</v>
      </c>
      <c r="C215" t="s">
        <v>278</v>
      </c>
      <c r="D215" t="s">
        <v>450</v>
      </c>
      <c r="E215" t="s">
        <v>468</v>
      </c>
      <c r="F215" t="s">
        <v>479</v>
      </c>
      <c r="G215" t="s">
        <v>485</v>
      </c>
      <c r="H215" t="s">
        <v>690</v>
      </c>
      <c r="I215">
        <v>56497</v>
      </c>
    </row>
    <row r="216" spans="1:9">
      <c r="A216" t="s">
        <v>223</v>
      </c>
      <c r="B216" t="s">
        <v>264</v>
      </c>
      <c r="C216" t="s">
        <v>284</v>
      </c>
      <c r="D216" t="s">
        <v>451</v>
      </c>
      <c r="E216" t="s">
        <v>470</v>
      </c>
      <c r="F216" t="s">
        <v>480</v>
      </c>
      <c r="G216" t="s">
        <v>485</v>
      </c>
      <c r="H216" t="s">
        <v>691</v>
      </c>
      <c r="I216">
        <v>57112</v>
      </c>
    </row>
    <row r="217" spans="1:9">
      <c r="A217" t="s">
        <v>224</v>
      </c>
      <c r="B217" t="s">
        <v>272</v>
      </c>
      <c r="C217" t="s">
        <v>278</v>
      </c>
      <c r="D217" t="s">
        <v>450</v>
      </c>
      <c r="E217" t="s">
        <v>468</v>
      </c>
      <c r="F217" t="s">
        <v>477</v>
      </c>
      <c r="G217" t="s">
        <v>482</v>
      </c>
      <c r="H217" t="s">
        <v>646</v>
      </c>
      <c r="I217">
        <v>145730</v>
      </c>
    </row>
    <row r="218" spans="1:9">
      <c r="A218" t="s">
        <v>225</v>
      </c>
      <c r="B218" t="s">
        <v>266</v>
      </c>
      <c r="C218" t="s">
        <v>279</v>
      </c>
      <c r="D218" t="s">
        <v>452</v>
      </c>
      <c r="E218" t="s">
        <v>472</v>
      </c>
      <c r="F218" t="s">
        <v>480</v>
      </c>
      <c r="G218" t="s">
        <v>483</v>
      </c>
      <c r="H218" t="s">
        <v>692</v>
      </c>
      <c r="I218">
        <v>96347</v>
      </c>
    </row>
    <row r="219" spans="1:9">
      <c r="A219" t="s">
        <v>226</v>
      </c>
      <c r="B219" t="s">
        <v>273</v>
      </c>
      <c r="C219" t="s">
        <v>277</v>
      </c>
      <c r="D219" t="s">
        <v>401</v>
      </c>
      <c r="E219" t="s">
        <v>468</v>
      </c>
      <c r="F219" t="s">
        <v>480</v>
      </c>
      <c r="G219" t="s">
        <v>485</v>
      </c>
      <c r="H219" t="s">
        <v>693</v>
      </c>
      <c r="I219">
        <v>45866</v>
      </c>
    </row>
    <row r="220" spans="1:9">
      <c r="A220" t="s">
        <v>227</v>
      </c>
      <c r="B220" t="s">
        <v>274</v>
      </c>
      <c r="C220" t="s">
        <v>279</v>
      </c>
      <c r="D220" t="s">
        <v>448</v>
      </c>
      <c r="E220" t="s">
        <v>473</v>
      </c>
      <c r="F220" t="s">
        <v>477</v>
      </c>
      <c r="G220" t="s">
        <v>484</v>
      </c>
      <c r="H220" t="s">
        <v>694</v>
      </c>
      <c r="I220">
        <v>113248</v>
      </c>
    </row>
    <row r="221" spans="1:9">
      <c r="A221" t="s">
        <v>228</v>
      </c>
      <c r="B221" t="s">
        <v>273</v>
      </c>
      <c r="C221" t="s">
        <v>291</v>
      </c>
      <c r="D221" t="s">
        <v>353</v>
      </c>
      <c r="E221" t="s">
        <v>471</v>
      </c>
      <c r="F221" t="s">
        <v>479</v>
      </c>
      <c r="G221" t="s">
        <v>481</v>
      </c>
      <c r="H221" t="s">
        <v>695</v>
      </c>
      <c r="I221">
        <v>248518</v>
      </c>
    </row>
    <row r="222" spans="1:9">
      <c r="A222" t="s">
        <v>229</v>
      </c>
      <c r="B222" t="s">
        <v>267</v>
      </c>
      <c r="C222" t="s">
        <v>278</v>
      </c>
      <c r="D222" t="s">
        <v>383</v>
      </c>
      <c r="E222" t="s">
        <v>472</v>
      </c>
      <c r="F222" t="s">
        <v>475</v>
      </c>
      <c r="G222" t="s">
        <v>482</v>
      </c>
      <c r="H222" t="s">
        <v>696</v>
      </c>
      <c r="I222">
        <v>167793</v>
      </c>
    </row>
    <row r="223" spans="1:9">
      <c r="A223" t="s">
        <v>230</v>
      </c>
      <c r="B223" t="s">
        <v>271</v>
      </c>
      <c r="C223" t="s">
        <v>290</v>
      </c>
      <c r="D223" t="s">
        <v>453</v>
      </c>
      <c r="E223" t="s">
        <v>469</v>
      </c>
      <c r="F223" t="s">
        <v>478</v>
      </c>
      <c r="G223" t="s">
        <v>481</v>
      </c>
      <c r="H223" t="s">
        <v>697</v>
      </c>
      <c r="I223">
        <v>207577</v>
      </c>
    </row>
    <row r="224" spans="1:9">
      <c r="A224" t="s">
        <v>231</v>
      </c>
      <c r="B224" t="s">
        <v>274</v>
      </c>
      <c r="C224" t="s">
        <v>290</v>
      </c>
      <c r="D224" t="s">
        <v>366</v>
      </c>
      <c r="E224" t="s">
        <v>472</v>
      </c>
      <c r="F224" t="s">
        <v>476</v>
      </c>
      <c r="G224" t="s">
        <v>484</v>
      </c>
      <c r="H224" t="s">
        <v>698</v>
      </c>
      <c r="I224">
        <v>117863</v>
      </c>
    </row>
    <row r="225" spans="1:9">
      <c r="A225" t="s">
        <v>232</v>
      </c>
      <c r="B225" t="s">
        <v>268</v>
      </c>
      <c r="C225" t="s">
        <v>282</v>
      </c>
      <c r="D225" t="s">
        <v>454</v>
      </c>
      <c r="E225" t="s">
        <v>473</v>
      </c>
      <c r="F225" t="s">
        <v>475</v>
      </c>
      <c r="G225" t="s">
        <v>483</v>
      </c>
      <c r="H225" t="s">
        <v>699</v>
      </c>
      <c r="I225">
        <v>90338</v>
      </c>
    </row>
    <row r="226" spans="1:9">
      <c r="A226" t="s">
        <v>233</v>
      </c>
      <c r="B226" t="s">
        <v>264</v>
      </c>
      <c r="C226" t="s">
        <v>279</v>
      </c>
      <c r="D226" t="s">
        <v>318</v>
      </c>
      <c r="E226" t="s">
        <v>473</v>
      </c>
      <c r="F226" t="s">
        <v>479</v>
      </c>
      <c r="G226" t="s">
        <v>483</v>
      </c>
      <c r="H226" t="s">
        <v>700</v>
      </c>
      <c r="I226">
        <v>92096</v>
      </c>
    </row>
    <row r="227" spans="1:9">
      <c r="A227" t="s">
        <v>234</v>
      </c>
      <c r="B227" t="s">
        <v>275</v>
      </c>
      <c r="C227" t="s">
        <v>279</v>
      </c>
      <c r="D227" t="s">
        <v>455</v>
      </c>
      <c r="E227" t="s">
        <v>471</v>
      </c>
      <c r="F227" t="s">
        <v>478</v>
      </c>
      <c r="G227" t="s">
        <v>485</v>
      </c>
      <c r="H227" t="s">
        <v>701</v>
      </c>
      <c r="I227">
        <v>51405</v>
      </c>
    </row>
    <row r="228" spans="1:9">
      <c r="A228" t="s">
        <v>235</v>
      </c>
      <c r="B228" t="s">
        <v>265</v>
      </c>
      <c r="C228" t="s">
        <v>284</v>
      </c>
      <c r="D228" t="s">
        <v>456</v>
      </c>
      <c r="E228" t="s">
        <v>469</v>
      </c>
      <c r="F228" t="s">
        <v>476</v>
      </c>
      <c r="G228" t="s">
        <v>481</v>
      </c>
      <c r="H228" t="s">
        <v>702</v>
      </c>
      <c r="I228">
        <v>236217</v>
      </c>
    </row>
    <row r="229" spans="1:9">
      <c r="A229" t="s">
        <v>236</v>
      </c>
      <c r="B229" t="s">
        <v>259</v>
      </c>
      <c r="C229" t="s">
        <v>291</v>
      </c>
      <c r="D229" t="s">
        <v>417</v>
      </c>
      <c r="E229" t="s">
        <v>469</v>
      </c>
      <c r="F229" t="s">
        <v>480</v>
      </c>
      <c r="G229" t="s">
        <v>481</v>
      </c>
      <c r="H229" t="s">
        <v>703</v>
      </c>
      <c r="I229">
        <v>209375</v>
      </c>
    </row>
    <row r="230" spans="1:9">
      <c r="A230" t="s">
        <v>237</v>
      </c>
      <c r="B230" t="s">
        <v>268</v>
      </c>
      <c r="C230" t="s">
        <v>282</v>
      </c>
      <c r="D230" t="s">
        <v>454</v>
      </c>
      <c r="E230" t="s">
        <v>468</v>
      </c>
      <c r="F230" t="s">
        <v>480</v>
      </c>
      <c r="G230" t="s">
        <v>482</v>
      </c>
      <c r="H230" t="s">
        <v>704</v>
      </c>
      <c r="I230">
        <v>145412</v>
      </c>
    </row>
    <row r="231" spans="1:9">
      <c r="A231" t="s">
        <v>238</v>
      </c>
      <c r="B231" t="s">
        <v>264</v>
      </c>
      <c r="C231" t="s">
        <v>279</v>
      </c>
      <c r="D231" t="s">
        <v>318</v>
      </c>
      <c r="E231" t="s">
        <v>471</v>
      </c>
      <c r="F231" t="s">
        <v>477</v>
      </c>
      <c r="G231" t="s">
        <v>485</v>
      </c>
      <c r="H231" t="s">
        <v>705</v>
      </c>
      <c r="I231">
        <v>45168</v>
      </c>
    </row>
    <row r="232" spans="1:9">
      <c r="A232" t="s">
        <v>239</v>
      </c>
      <c r="B232" t="s">
        <v>269</v>
      </c>
      <c r="C232" t="s">
        <v>283</v>
      </c>
      <c r="D232" t="s">
        <v>457</v>
      </c>
      <c r="E232" t="s">
        <v>472</v>
      </c>
      <c r="F232" t="s">
        <v>480</v>
      </c>
      <c r="G232" t="s">
        <v>481</v>
      </c>
      <c r="H232" t="s">
        <v>706</v>
      </c>
      <c r="I232">
        <v>205709</v>
      </c>
    </row>
    <row r="233" spans="1:9">
      <c r="A233" t="s">
        <v>240</v>
      </c>
      <c r="B233" t="s">
        <v>265</v>
      </c>
      <c r="C233" t="s">
        <v>277</v>
      </c>
      <c r="D233" t="s">
        <v>374</v>
      </c>
      <c r="E233" t="s">
        <v>474</v>
      </c>
      <c r="F233" t="s">
        <v>478</v>
      </c>
      <c r="G233" t="s">
        <v>483</v>
      </c>
      <c r="H233" t="s">
        <v>707</v>
      </c>
      <c r="I233">
        <v>76241</v>
      </c>
    </row>
    <row r="234" spans="1:9">
      <c r="A234" t="s">
        <v>241</v>
      </c>
      <c r="B234" t="s">
        <v>269</v>
      </c>
      <c r="C234" t="s">
        <v>286</v>
      </c>
      <c r="D234" t="s">
        <v>352</v>
      </c>
      <c r="E234" t="s">
        <v>474</v>
      </c>
      <c r="F234" t="s">
        <v>478</v>
      </c>
      <c r="G234" t="s">
        <v>485</v>
      </c>
      <c r="H234" t="s">
        <v>708</v>
      </c>
      <c r="I234">
        <v>51687</v>
      </c>
    </row>
    <row r="235" spans="1:9">
      <c r="A235" t="s">
        <v>242</v>
      </c>
      <c r="B235" t="s">
        <v>260</v>
      </c>
      <c r="C235" t="s">
        <v>283</v>
      </c>
      <c r="D235" t="s">
        <v>458</v>
      </c>
      <c r="E235" t="s">
        <v>470</v>
      </c>
      <c r="F235" t="s">
        <v>477</v>
      </c>
      <c r="G235" t="s">
        <v>484</v>
      </c>
      <c r="H235" t="s">
        <v>709</v>
      </c>
      <c r="I235">
        <v>118086</v>
      </c>
    </row>
    <row r="236" spans="1:9">
      <c r="A236" t="s">
        <v>243</v>
      </c>
      <c r="B236" t="s">
        <v>262</v>
      </c>
      <c r="C236" t="s">
        <v>288</v>
      </c>
      <c r="D236" t="s">
        <v>420</v>
      </c>
      <c r="E236" t="s">
        <v>471</v>
      </c>
      <c r="F236" t="s">
        <v>475</v>
      </c>
      <c r="G236" t="s">
        <v>482</v>
      </c>
      <c r="H236" t="s">
        <v>710</v>
      </c>
      <c r="I236">
        <v>178911</v>
      </c>
    </row>
    <row r="237" spans="1:9">
      <c r="A237" t="s">
        <v>244</v>
      </c>
      <c r="B237" t="s">
        <v>272</v>
      </c>
      <c r="C237" t="s">
        <v>286</v>
      </c>
      <c r="D237" t="s">
        <v>459</v>
      </c>
      <c r="E237" t="s">
        <v>474</v>
      </c>
      <c r="F237" t="s">
        <v>477</v>
      </c>
      <c r="G237" t="s">
        <v>485</v>
      </c>
      <c r="H237" t="s">
        <v>711</v>
      </c>
      <c r="I237">
        <v>49503</v>
      </c>
    </row>
    <row r="238" spans="1:9">
      <c r="A238" t="s">
        <v>245</v>
      </c>
      <c r="B238" t="s">
        <v>276</v>
      </c>
      <c r="C238" t="s">
        <v>278</v>
      </c>
      <c r="D238" t="s">
        <v>387</v>
      </c>
      <c r="E238" t="s">
        <v>470</v>
      </c>
      <c r="F238" t="s">
        <v>478</v>
      </c>
      <c r="G238" t="s">
        <v>481</v>
      </c>
      <c r="H238" t="s">
        <v>580</v>
      </c>
      <c r="I238">
        <v>196017</v>
      </c>
    </row>
    <row r="239" spans="1:9">
      <c r="A239" t="s">
        <v>246</v>
      </c>
      <c r="B239" t="s">
        <v>272</v>
      </c>
      <c r="C239" t="s">
        <v>277</v>
      </c>
      <c r="D239" t="s">
        <v>460</v>
      </c>
      <c r="E239" t="s">
        <v>472</v>
      </c>
      <c r="F239" t="s">
        <v>475</v>
      </c>
      <c r="G239" t="s">
        <v>485</v>
      </c>
      <c r="H239" t="s">
        <v>712</v>
      </c>
      <c r="I239">
        <v>56960</v>
      </c>
    </row>
    <row r="240" spans="1:9">
      <c r="A240" t="s">
        <v>247</v>
      </c>
      <c r="B240" t="s">
        <v>260</v>
      </c>
      <c r="C240" t="s">
        <v>282</v>
      </c>
      <c r="D240" t="s">
        <v>461</v>
      </c>
      <c r="E240" t="s">
        <v>471</v>
      </c>
      <c r="F240" t="s">
        <v>475</v>
      </c>
      <c r="G240" t="s">
        <v>481</v>
      </c>
      <c r="H240" t="s">
        <v>713</v>
      </c>
      <c r="I240">
        <v>233348</v>
      </c>
    </row>
    <row r="241" spans="1:9">
      <c r="A241" t="s">
        <v>248</v>
      </c>
      <c r="B241" t="s">
        <v>270</v>
      </c>
      <c r="C241" t="s">
        <v>285</v>
      </c>
      <c r="D241" t="s">
        <v>306</v>
      </c>
      <c r="E241" t="s">
        <v>468</v>
      </c>
      <c r="F241" t="s">
        <v>477</v>
      </c>
      <c r="G241" t="s">
        <v>485</v>
      </c>
      <c r="H241" t="s">
        <v>714</v>
      </c>
      <c r="I241">
        <v>56335</v>
      </c>
    </row>
    <row r="242" spans="1:9">
      <c r="A242" t="s">
        <v>249</v>
      </c>
      <c r="B242" t="s">
        <v>265</v>
      </c>
      <c r="C242" t="s">
        <v>286</v>
      </c>
      <c r="D242" t="s">
        <v>462</v>
      </c>
      <c r="E242" t="s">
        <v>474</v>
      </c>
      <c r="F242" t="s">
        <v>479</v>
      </c>
      <c r="G242" t="s">
        <v>484</v>
      </c>
      <c r="H242" t="s">
        <v>715</v>
      </c>
      <c r="I242">
        <v>129385</v>
      </c>
    </row>
    <row r="243" spans="1:9">
      <c r="A243" t="s">
        <v>250</v>
      </c>
      <c r="B243" t="s">
        <v>268</v>
      </c>
      <c r="C243" t="s">
        <v>280</v>
      </c>
      <c r="D243" t="s">
        <v>463</v>
      </c>
      <c r="E243" t="s">
        <v>473</v>
      </c>
      <c r="F243" t="s">
        <v>477</v>
      </c>
      <c r="G243" t="s">
        <v>482</v>
      </c>
      <c r="H243" t="s">
        <v>716</v>
      </c>
      <c r="I243">
        <v>161447</v>
      </c>
    </row>
    <row r="244" spans="1:9">
      <c r="A244" t="s">
        <v>251</v>
      </c>
      <c r="B244" t="s">
        <v>261</v>
      </c>
      <c r="C244" t="s">
        <v>289</v>
      </c>
      <c r="D244" t="s">
        <v>464</v>
      </c>
      <c r="E244" t="s">
        <v>470</v>
      </c>
      <c r="F244" t="s">
        <v>476</v>
      </c>
      <c r="G244" t="s">
        <v>484</v>
      </c>
      <c r="H244" t="s">
        <v>717</v>
      </c>
      <c r="I244">
        <v>122109</v>
      </c>
    </row>
    <row r="245" spans="1:9">
      <c r="A245" t="s">
        <v>252</v>
      </c>
      <c r="B245" t="s">
        <v>272</v>
      </c>
      <c r="C245" t="s">
        <v>277</v>
      </c>
      <c r="D245" t="s">
        <v>460</v>
      </c>
      <c r="E245" t="s">
        <v>469</v>
      </c>
      <c r="F245" t="s">
        <v>475</v>
      </c>
      <c r="G245" t="s">
        <v>483</v>
      </c>
      <c r="H245" t="s">
        <v>718</v>
      </c>
      <c r="I245">
        <v>74770</v>
      </c>
    </row>
    <row r="246" spans="1:9">
      <c r="A246" t="s">
        <v>253</v>
      </c>
      <c r="B246" t="s">
        <v>275</v>
      </c>
      <c r="C246" t="s">
        <v>283</v>
      </c>
      <c r="D246" t="s">
        <v>465</v>
      </c>
      <c r="E246" t="s">
        <v>469</v>
      </c>
      <c r="F246" t="s">
        <v>479</v>
      </c>
      <c r="G246" t="s">
        <v>481</v>
      </c>
      <c r="H246" t="s">
        <v>719</v>
      </c>
      <c r="I246">
        <v>229698</v>
      </c>
    </row>
    <row r="247" spans="1:9">
      <c r="A247" t="s">
        <v>254</v>
      </c>
      <c r="B247" t="s">
        <v>273</v>
      </c>
      <c r="C247" t="s">
        <v>288</v>
      </c>
      <c r="D247" t="s">
        <v>466</v>
      </c>
      <c r="E247" t="s">
        <v>470</v>
      </c>
      <c r="F247" t="s">
        <v>477</v>
      </c>
      <c r="G247" t="s">
        <v>482</v>
      </c>
      <c r="H247" t="s">
        <v>720</v>
      </c>
      <c r="I247">
        <v>165634</v>
      </c>
    </row>
    <row r="248" spans="1:9">
      <c r="A248" t="s">
        <v>255</v>
      </c>
      <c r="B248" t="s">
        <v>259</v>
      </c>
      <c r="C248" t="s">
        <v>286</v>
      </c>
      <c r="D248" t="s">
        <v>415</v>
      </c>
      <c r="E248" t="s">
        <v>470</v>
      </c>
      <c r="F248" t="s">
        <v>476</v>
      </c>
      <c r="G248" t="s">
        <v>482</v>
      </c>
      <c r="H248" t="s">
        <v>721</v>
      </c>
      <c r="I248">
        <v>170481</v>
      </c>
    </row>
    <row r="249" spans="1:9">
      <c r="A249" t="s">
        <v>256</v>
      </c>
      <c r="B249" t="s">
        <v>261</v>
      </c>
      <c r="C249" t="s">
        <v>279</v>
      </c>
      <c r="D249" t="s">
        <v>295</v>
      </c>
      <c r="E249" t="s">
        <v>471</v>
      </c>
      <c r="F249" t="s">
        <v>475</v>
      </c>
      <c r="G249" t="s">
        <v>483</v>
      </c>
      <c r="H249" t="s">
        <v>722</v>
      </c>
      <c r="I249">
        <v>93448</v>
      </c>
    </row>
    <row r="250" spans="1:9">
      <c r="A250" t="s">
        <v>257</v>
      </c>
      <c r="B250" t="s">
        <v>270</v>
      </c>
      <c r="C250" t="s">
        <v>281</v>
      </c>
      <c r="D250" t="s">
        <v>467</v>
      </c>
      <c r="E250" t="s">
        <v>468</v>
      </c>
      <c r="F250" t="s">
        <v>476</v>
      </c>
      <c r="G250" t="s">
        <v>482</v>
      </c>
      <c r="H250" t="s">
        <v>723</v>
      </c>
      <c r="I250">
        <v>146705</v>
      </c>
    </row>
    <row r="251" spans="1:9">
      <c r="A251" t="s">
        <v>258</v>
      </c>
      <c r="B251" t="s">
        <v>259</v>
      </c>
      <c r="C251" t="s">
        <v>283</v>
      </c>
      <c r="D251" t="s">
        <v>329</v>
      </c>
      <c r="E251" t="s">
        <v>470</v>
      </c>
      <c r="F251" t="s">
        <v>476</v>
      </c>
      <c r="G251" t="s">
        <v>482</v>
      </c>
      <c r="H251" t="s">
        <v>724</v>
      </c>
      <c r="I251">
        <v>153990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26" width="16.7109375" customWidth="1"/>
  </cols>
  <sheetData>
    <row r="1" spans="1:3">
      <c r="A1" s="1" t="s">
        <v>6</v>
      </c>
      <c r="B1" s="1" t="s">
        <v>725</v>
      </c>
      <c r="C1" s="1" t="s">
        <v>726</v>
      </c>
    </row>
    <row r="2" spans="1:3">
      <c r="A2" t="s">
        <v>485</v>
      </c>
      <c r="B2">
        <v>150</v>
      </c>
      <c r="C2">
        <v>0.05</v>
      </c>
    </row>
    <row r="3" spans="1:3">
      <c r="A3" t="s">
        <v>483</v>
      </c>
      <c r="B3">
        <v>250</v>
      </c>
      <c r="C3">
        <v>0.08</v>
      </c>
    </row>
    <row r="4" spans="1:3">
      <c r="A4" t="s">
        <v>484</v>
      </c>
      <c r="B4">
        <v>350</v>
      </c>
      <c r="C4">
        <v>0.1</v>
      </c>
    </row>
    <row r="5" spans="1:3">
      <c r="A5" t="s">
        <v>482</v>
      </c>
      <c r="B5">
        <v>500</v>
      </c>
      <c r="C5">
        <v>0.12</v>
      </c>
    </row>
    <row r="6" spans="1:3">
      <c r="A6" t="s">
        <v>481</v>
      </c>
      <c r="B6">
        <v>800</v>
      </c>
      <c r="C6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26" width="16.7109375" customWidth="1"/>
  </cols>
  <sheetData>
    <row r="1" spans="1:4">
      <c r="A1" s="1" t="s">
        <v>727</v>
      </c>
      <c r="B1" s="1" t="s">
        <v>728</v>
      </c>
      <c r="C1" s="1" t="s">
        <v>729</v>
      </c>
      <c r="D1" s="1" t="s">
        <v>730</v>
      </c>
    </row>
    <row r="2" spans="1:4">
      <c r="A2">
        <v>0</v>
      </c>
      <c r="B2">
        <v>44724</v>
      </c>
      <c r="C2">
        <v>0</v>
      </c>
      <c r="D2">
        <v>0.12</v>
      </c>
    </row>
    <row r="3" spans="1:4">
      <c r="A3">
        <v>44725</v>
      </c>
      <c r="B3">
        <v>95374</v>
      </c>
      <c r="C3">
        <v>5143</v>
      </c>
      <c r="D3">
        <v>0.22</v>
      </c>
    </row>
    <row r="4" spans="1:4">
      <c r="A4">
        <v>95375</v>
      </c>
      <c r="B4">
        <v>182099</v>
      </c>
      <c r="C4">
        <v>16290</v>
      </c>
      <c r="D4">
        <v>0.24</v>
      </c>
    </row>
    <row r="5" spans="1:4">
      <c r="A5">
        <v>182100</v>
      </c>
      <c r="B5">
        <v>231249</v>
      </c>
      <c r="C5">
        <v>37104</v>
      </c>
      <c r="D5">
        <v>0.32</v>
      </c>
    </row>
    <row r="6" spans="1:4">
      <c r="A6">
        <v>231250</v>
      </c>
      <c r="B6">
        <v>9999999</v>
      </c>
      <c r="C6">
        <v>48898</v>
      </c>
      <c r="D6">
        <v>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cols>
    <col min="1" max="26" width="16.7109375" customWidth="1"/>
  </cols>
  <sheetData>
    <row r="1" spans="1:9">
      <c r="A1" s="1" t="s">
        <v>0</v>
      </c>
      <c r="B1" s="1" t="s">
        <v>731</v>
      </c>
      <c r="C1" s="1" t="s">
        <v>732</v>
      </c>
      <c r="D1" s="1" t="s">
        <v>733</v>
      </c>
      <c r="E1" s="1" t="s">
        <v>734</v>
      </c>
      <c r="F1" s="1" t="s">
        <v>735</v>
      </c>
      <c r="G1" s="1" t="s">
        <v>736</v>
      </c>
      <c r="H1" s="1" t="s">
        <v>737</v>
      </c>
      <c r="I1" s="1" t="s">
        <v>738</v>
      </c>
    </row>
    <row r="2" spans="1:9">
      <c r="A2" t="s">
        <v>9</v>
      </c>
      <c r="B2">
        <v>4.1</v>
      </c>
      <c r="C2">
        <v>0</v>
      </c>
      <c r="D2">
        <f>VLOOKUP(A2, Employees!A:I, 7, FALSE)</f>
        <v>0</v>
      </c>
      <c r="E2" s="2">
        <f>VLOOKUP(A2, Employees!A:I, 9, FALSE)</f>
        <v>0</v>
      </c>
      <c r="F2" s="2">
        <f>E2 + (E2*(B2/5)*0.1) + (C2*45)</f>
        <v>0</v>
      </c>
      <c r="G2" s="2">
        <f>VLOOKUP(D2, Benefits!A:C, 2, FALSE)</f>
        <v>0</v>
      </c>
      <c r="H2" s="3">
        <f>VLOOKUP(F2, Tax_Brackets!A:D, 4, TRUE)</f>
        <v>0</v>
      </c>
      <c r="I2" s="2">
        <f>F2 - G2 - (F2 * H2)</f>
        <v>0</v>
      </c>
    </row>
    <row r="3" spans="1:9">
      <c r="A3" t="s">
        <v>10</v>
      </c>
      <c r="B3">
        <v>3.2</v>
      </c>
      <c r="C3">
        <v>0</v>
      </c>
      <c r="D3">
        <f>VLOOKUP(A3, Employees!A:I, 7, FALSE)</f>
        <v>0</v>
      </c>
      <c r="E3" s="2">
        <f>VLOOKUP(A3, Employees!A:I, 9, FALSE)</f>
        <v>0</v>
      </c>
      <c r="F3" s="2">
        <f>E3 + (E3*(B3/5)*0.1) + (C3*45)</f>
        <v>0</v>
      </c>
      <c r="G3" s="2">
        <f>VLOOKUP(D3, Benefits!A:C, 2, FALSE)</f>
        <v>0</v>
      </c>
      <c r="H3" s="3">
        <f>VLOOKUP(F3, Tax_Brackets!A:D, 4, TRUE)</f>
        <v>0</v>
      </c>
      <c r="I3" s="2">
        <f>F3 - G3 - (F3 * H3)</f>
        <v>0</v>
      </c>
    </row>
    <row r="4" spans="1:9">
      <c r="A4" t="s">
        <v>11</v>
      </c>
      <c r="B4">
        <v>3.7</v>
      </c>
      <c r="C4">
        <v>0</v>
      </c>
      <c r="D4">
        <f>VLOOKUP(A4, Employees!A:I, 7, FALSE)</f>
        <v>0</v>
      </c>
      <c r="E4" s="2">
        <f>VLOOKUP(A4, Employees!A:I, 9, FALSE)</f>
        <v>0</v>
      </c>
      <c r="F4" s="2">
        <f>E4 + (E4*(B4/5)*0.1) + (C4*45)</f>
        <v>0</v>
      </c>
      <c r="G4" s="2">
        <f>VLOOKUP(D4, Benefits!A:C, 2, FALSE)</f>
        <v>0</v>
      </c>
      <c r="H4" s="3">
        <f>VLOOKUP(F4, Tax_Brackets!A:D, 4, TRUE)</f>
        <v>0</v>
      </c>
      <c r="I4" s="2">
        <f>F4 - G4 - (F4 * H4)</f>
        <v>0</v>
      </c>
    </row>
    <row r="5" spans="1:9">
      <c r="A5" t="s">
        <v>12</v>
      </c>
      <c r="B5">
        <v>2.9</v>
      </c>
      <c r="C5">
        <v>0</v>
      </c>
      <c r="D5">
        <f>VLOOKUP(A5, Employees!A:I, 7, FALSE)</f>
        <v>0</v>
      </c>
      <c r="E5" s="2">
        <f>VLOOKUP(A5, Employees!A:I, 9, FALSE)</f>
        <v>0</v>
      </c>
      <c r="F5" s="2">
        <f>E5 + (E5*(B5/5)*0.1) + (C5*45)</f>
        <v>0</v>
      </c>
      <c r="G5" s="2">
        <f>VLOOKUP(D5, Benefits!A:C, 2, FALSE)</f>
        <v>0</v>
      </c>
      <c r="H5" s="3">
        <f>VLOOKUP(F5, Tax_Brackets!A:D, 4, TRUE)</f>
        <v>0</v>
      </c>
      <c r="I5" s="2">
        <f>F5 - G5 - (F5 * H5)</f>
        <v>0</v>
      </c>
    </row>
    <row r="6" spans="1:9">
      <c r="A6" t="s">
        <v>13</v>
      </c>
      <c r="B6">
        <v>2</v>
      </c>
      <c r="C6">
        <v>0</v>
      </c>
      <c r="D6">
        <f>VLOOKUP(A6, Employees!A:I, 7, FALSE)</f>
        <v>0</v>
      </c>
      <c r="E6" s="2">
        <f>VLOOKUP(A6, Employees!A:I, 9, FALSE)</f>
        <v>0</v>
      </c>
      <c r="F6" s="2">
        <f>E6 + (E6*(B6/5)*0.1) + (C6*45)</f>
        <v>0</v>
      </c>
      <c r="G6" s="2">
        <f>VLOOKUP(D6, Benefits!A:C, 2, FALSE)</f>
        <v>0</v>
      </c>
      <c r="H6" s="3">
        <f>VLOOKUP(F6, Tax_Brackets!A:D, 4, TRUE)</f>
        <v>0</v>
      </c>
      <c r="I6" s="2">
        <f>F6 - G6 - (F6 * H6)</f>
        <v>0</v>
      </c>
    </row>
    <row r="7" spans="1:9">
      <c r="A7" t="s">
        <v>14</v>
      </c>
      <c r="B7">
        <v>4.6</v>
      </c>
      <c r="C7">
        <v>0</v>
      </c>
      <c r="D7">
        <f>VLOOKUP(A7, Employees!A:I, 7, FALSE)</f>
        <v>0</v>
      </c>
      <c r="E7" s="2">
        <f>VLOOKUP(A7, Employees!A:I, 9, FALSE)</f>
        <v>0</v>
      </c>
      <c r="F7" s="2">
        <f>E7 + (E7*(B7/5)*0.1) + (C7*45)</f>
        <v>0</v>
      </c>
      <c r="G7" s="2">
        <f>VLOOKUP(D7, Benefits!A:C, 2, FALSE)</f>
        <v>0</v>
      </c>
      <c r="H7" s="3">
        <f>VLOOKUP(F7, Tax_Brackets!A:D, 4, TRUE)</f>
        <v>0</v>
      </c>
      <c r="I7" s="2">
        <f>F7 - G7 - (F7 * H7)</f>
        <v>0</v>
      </c>
    </row>
    <row r="8" spans="1:9">
      <c r="A8" t="s">
        <v>15</v>
      </c>
      <c r="B8">
        <v>4.3</v>
      </c>
      <c r="C8">
        <v>11</v>
      </c>
      <c r="D8">
        <f>VLOOKUP(A8, Employees!A:I, 7, FALSE)</f>
        <v>0</v>
      </c>
      <c r="E8" s="2">
        <f>VLOOKUP(A8, Employees!A:I, 9, FALSE)</f>
        <v>0</v>
      </c>
      <c r="F8" s="2">
        <f>E8 + (E8*(B8/5)*0.1) + (C8*45)</f>
        <v>0</v>
      </c>
      <c r="G8" s="2">
        <f>VLOOKUP(D8, Benefits!A:C, 2, FALSE)</f>
        <v>0</v>
      </c>
      <c r="H8" s="3">
        <f>VLOOKUP(F8, Tax_Brackets!A:D, 4, TRUE)</f>
        <v>0</v>
      </c>
      <c r="I8" s="2">
        <f>F8 - G8 - (F8 * H8)</f>
        <v>0</v>
      </c>
    </row>
    <row r="9" spans="1:9">
      <c r="A9" t="s">
        <v>16</v>
      </c>
      <c r="B9">
        <v>3.6</v>
      </c>
      <c r="C9">
        <v>0</v>
      </c>
      <c r="D9">
        <f>VLOOKUP(A9, Employees!A:I, 7, FALSE)</f>
        <v>0</v>
      </c>
      <c r="E9" s="2">
        <f>VLOOKUP(A9, Employees!A:I, 9, FALSE)</f>
        <v>0</v>
      </c>
      <c r="F9" s="2">
        <f>E9 + (E9*(B9/5)*0.1) + (C9*45)</f>
        <v>0</v>
      </c>
      <c r="G9" s="2">
        <f>VLOOKUP(D9, Benefits!A:C, 2, FALSE)</f>
        <v>0</v>
      </c>
      <c r="H9" s="3">
        <f>VLOOKUP(F9, Tax_Brackets!A:D, 4, TRUE)</f>
        <v>0</v>
      </c>
      <c r="I9" s="2">
        <f>F9 - G9 - (F9 * H9)</f>
        <v>0</v>
      </c>
    </row>
    <row r="10" spans="1:9">
      <c r="A10" t="s">
        <v>17</v>
      </c>
      <c r="B10">
        <v>3.8</v>
      </c>
      <c r="C10">
        <v>11</v>
      </c>
      <c r="D10">
        <f>VLOOKUP(A10, Employees!A:I, 7, FALSE)</f>
        <v>0</v>
      </c>
      <c r="E10" s="2">
        <f>VLOOKUP(A10, Employees!A:I, 9, FALSE)</f>
        <v>0</v>
      </c>
      <c r="F10" s="2">
        <f>E10 + (E10*(B10/5)*0.1) + (C10*45)</f>
        <v>0</v>
      </c>
      <c r="G10" s="2">
        <f>VLOOKUP(D10, Benefits!A:C, 2, FALSE)</f>
        <v>0</v>
      </c>
      <c r="H10" s="3">
        <f>VLOOKUP(F10, Tax_Brackets!A:D, 4, TRUE)</f>
        <v>0</v>
      </c>
      <c r="I10" s="2">
        <f>F10 - G10 - (F10 * H10)</f>
        <v>0</v>
      </c>
    </row>
    <row r="11" spans="1:9">
      <c r="A11" t="s">
        <v>18</v>
      </c>
      <c r="B11">
        <v>3.1</v>
      </c>
      <c r="C11">
        <v>5</v>
      </c>
      <c r="D11">
        <f>VLOOKUP(A11, Employees!A:I, 7, FALSE)</f>
        <v>0</v>
      </c>
      <c r="E11" s="2">
        <f>VLOOKUP(A11, Employees!A:I, 9, FALSE)</f>
        <v>0</v>
      </c>
      <c r="F11" s="2">
        <f>E11 + (E11*(B11/5)*0.1) + (C11*45)</f>
        <v>0</v>
      </c>
      <c r="G11" s="2">
        <f>VLOOKUP(D11, Benefits!A:C, 2, FALSE)</f>
        <v>0</v>
      </c>
      <c r="H11" s="3">
        <f>VLOOKUP(F11, Tax_Brackets!A:D, 4, TRUE)</f>
        <v>0</v>
      </c>
      <c r="I11" s="2">
        <f>F11 - G11 - (F11 * H11)</f>
        <v>0</v>
      </c>
    </row>
    <row r="12" spans="1:9">
      <c r="A12" t="s">
        <v>19</v>
      </c>
      <c r="B12">
        <v>4.9</v>
      </c>
      <c r="C12">
        <v>10</v>
      </c>
      <c r="D12">
        <f>VLOOKUP(A12, Employees!A:I, 7, FALSE)</f>
        <v>0</v>
      </c>
      <c r="E12" s="2">
        <f>VLOOKUP(A12, Employees!A:I, 9, FALSE)</f>
        <v>0</v>
      </c>
      <c r="F12" s="2">
        <f>E12 + (E12*(B12/5)*0.1) + (C12*45)</f>
        <v>0</v>
      </c>
      <c r="G12" s="2">
        <f>VLOOKUP(D12, Benefits!A:C, 2, FALSE)</f>
        <v>0</v>
      </c>
      <c r="H12" s="3">
        <f>VLOOKUP(F12, Tax_Brackets!A:D, 4, TRUE)</f>
        <v>0</v>
      </c>
      <c r="I12" s="2">
        <f>F12 - G12 - (F12 * H12)</f>
        <v>0</v>
      </c>
    </row>
    <row r="13" spans="1:9">
      <c r="A13" t="s">
        <v>20</v>
      </c>
      <c r="B13">
        <v>3.6</v>
      </c>
      <c r="C13">
        <v>9</v>
      </c>
      <c r="D13">
        <f>VLOOKUP(A13, Employees!A:I, 7, FALSE)</f>
        <v>0</v>
      </c>
      <c r="E13" s="2">
        <f>VLOOKUP(A13, Employees!A:I, 9, FALSE)</f>
        <v>0</v>
      </c>
      <c r="F13" s="2">
        <f>E13 + (E13*(B13/5)*0.1) + (C13*45)</f>
        <v>0</v>
      </c>
      <c r="G13" s="2">
        <f>VLOOKUP(D13, Benefits!A:C, 2, FALSE)</f>
        <v>0</v>
      </c>
      <c r="H13" s="3">
        <f>VLOOKUP(F13, Tax_Brackets!A:D, 4, TRUE)</f>
        <v>0</v>
      </c>
      <c r="I13" s="2">
        <f>F13 - G13 - (F13 * H13)</f>
        <v>0</v>
      </c>
    </row>
    <row r="14" spans="1:9">
      <c r="A14" t="s">
        <v>21</v>
      </c>
      <c r="B14">
        <v>3.2</v>
      </c>
      <c r="C14">
        <v>24</v>
      </c>
      <c r="D14">
        <f>VLOOKUP(A14, Employees!A:I, 7, FALSE)</f>
        <v>0</v>
      </c>
      <c r="E14" s="2">
        <f>VLOOKUP(A14, Employees!A:I, 9, FALSE)</f>
        <v>0</v>
      </c>
      <c r="F14" s="2">
        <f>E14 + (E14*(B14/5)*0.1) + (C14*45)</f>
        <v>0</v>
      </c>
      <c r="G14" s="2">
        <f>VLOOKUP(D14, Benefits!A:C, 2, FALSE)</f>
        <v>0</v>
      </c>
      <c r="H14" s="3">
        <f>VLOOKUP(F14, Tax_Brackets!A:D, 4, TRUE)</f>
        <v>0</v>
      </c>
      <c r="I14" s="2">
        <f>F14 - G14 - (F14 * H14)</f>
        <v>0</v>
      </c>
    </row>
    <row r="15" spans="1:9">
      <c r="A15" t="s">
        <v>22</v>
      </c>
      <c r="B15">
        <v>4.3</v>
      </c>
      <c r="C15">
        <v>11</v>
      </c>
      <c r="D15">
        <f>VLOOKUP(A15, Employees!A:I, 7, FALSE)</f>
        <v>0</v>
      </c>
      <c r="E15" s="2">
        <f>VLOOKUP(A15, Employees!A:I, 9, FALSE)</f>
        <v>0</v>
      </c>
      <c r="F15" s="2">
        <f>E15 + (E15*(B15/5)*0.1) + (C15*45)</f>
        <v>0</v>
      </c>
      <c r="G15" s="2">
        <f>VLOOKUP(D15, Benefits!A:C, 2, FALSE)</f>
        <v>0</v>
      </c>
      <c r="H15" s="3">
        <f>VLOOKUP(F15, Tax_Brackets!A:D, 4, TRUE)</f>
        <v>0</v>
      </c>
      <c r="I15" s="2">
        <f>F15 - G15 - (F15 * H15)</f>
        <v>0</v>
      </c>
    </row>
    <row r="16" spans="1:9">
      <c r="A16" t="s">
        <v>23</v>
      </c>
      <c r="B16">
        <v>5</v>
      </c>
      <c r="C16">
        <v>0</v>
      </c>
      <c r="D16">
        <f>VLOOKUP(A16, Employees!A:I, 7, FALSE)</f>
        <v>0</v>
      </c>
      <c r="E16" s="2">
        <f>VLOOKUP(A16, Employees!A:I, 9, FALSE)</f>
        <v>0</v>
      </c>
      <c r="F16" s="2">
        <f>E16 + (E16*(B16/5)*0.1) + (C16*45)</f>
        <v>0</v>
      </c>
      <c r="G16" s="2">
        <f>VLOOKUP(D16, Benefits!A:C, 2, FALSE)</f>
        <v>0</v>
      </c>
      <c r="H16" s="3">
        <f>VLOOKUP(F16, Tax_Brackets!A:D, 4, TRUE)</f>
        <v>0</v>
      </c>
      <c r="I16" s="2">
        <f>F16 - G16 - (F16 * H16)</f>
        <v>0</v>
      </c>
    </row>
    <row r="17" spans="1:9">
      <c r="A17" t="s">
        <v>24</v>
      </c>
      <c r="B17">
        <v>3.5</v>
      </c>
      <c r="C17">
        <v>0</v>
      </c>
      <c r="D17">
        <f>VLOOKUP(A17, Employees!A:I, 7, FALSE)</f>
        <v>0</v>
      </c>
      <c r="E17" s="2">
        <f>VLOOKUP(A17, Employees!A:I, 9, FALSE)</f>
        <v>0</v>
      </c>
      <c r="F17" s="2">
        <f>E17 + (E17*(B17/5)*0.1) + (C17*45)</f>
        <v>0</v>
      </c>
      <c r="G17" s="2">
        <f>VLOOKUP(D17, Benefits!A:C, 2, FALSE)</f>
        <v>0</v>
      </c>
      <c r="H17" s="3">
        <f>VLOOKUP(F17, Tax_Brackets!A:D, 4, TRUE)</f>
        <v>0</v>
      </c>
      <c r="I17" s="2">
        <f>F17 - G17 - (F17 * H17)</f>
        <v>0</v>
      </c>
    </row>
    <row r="18" spans="1:9">
      <c r="A18" t="s">
        <v>25</v>
      </c>
      <c r="B18">
        <v>2.6</v>
      </c>
      <c r="C18">
        <v>0</v>
      </c>
      <c r="D18">
        <f>VLOOKUP(A18, Employees!A:I, 7, FALSE)</f>
        <v>0</v>
      </c>
      <c r="E18" s="2">
        <f>VLOOKUP(A18, Employees!A:I, 9, FALSE)</f>
        <v>0</v>
      </c>
      <c r="F18" s="2">
        <f>E18 + (E18*(B18/5)*0.1) + (C18*45)</f>
        <v>0</v>
      </c>
      <c r="G18" s="2">
        <f>VLOOKUP(D18, Benefits!A:C, 2, FALSE)</f>
        <v>0</v>
      </c>
      <c r="H18" s="3">
        <f>VLOOKUP(F18, Tax_Brackets!A:D, 4, TRUE)</f>
        <v>0</v>
      </c>
      <c r="I18" s="2">
        <f>F18 - G18 - (F18 * H18)</f>
        <v>0</v>
      </c>
    </row>
    <row r="19" spans="1:9">
      <c r="A19" t="s">
        <v>26</v>
      </c>
      <c r="B19">
        <v>5</v>
      </c>
      <c r="C19">
        <v>2</v>
      </c>
      <c r="D19">
        <f>VLOOKUP(A19, Employees!A:I, 7, FALSE)</f>
        <v>0</v>
      </c>
      <c r="E19" s="2">
        <f>VLOOKUP(A19, Employees!A:I, 9, FALSE)</f>
        <v>0</v>
      </c>
      <c r="F19" s="2">
        <f>E19 + (E19*(B19/5)*0.1) + (C19*45)</f>
        <v>0</v>
      </c>
      <c r="G19" s="2">
        <f>VLOOKUP(D19, Benefits!A:C, 2, FALSE)</f>
        <v>0</v>
      </c>
      <c r="H19" s="3">
        <f>VLOOKUP(F19, Tax_Brackets!A:D, 4, TRUE)</f>
        <v>0</v>
      </c>
      <c r="I19" s="2">
        <f>F19 - G19 - (F19 * H19)</f>
        <v>0</v>
      </c>
    </row>
    <row r="20" spans="1:9">
      <c r="A20" t="s">
        <v>27</v>
      </c>
      <c r="B20">
        <v>3.6</v>
      </c>
      <c r="C20">
        <v>0</v>
      </c>
      <c r="D20">
        <f>VLOOKUP(A20, Employees!A:I, 7, FALSE)</f>
        <v>0</v>
      </c>
      <c r="E20" s="2">
        <f>VLOOKUP(A20, Employees!A:I, 9, FALSE)</f>
        <v>0</v>
      </c>
      <c r="F20" s="2">
        <f>E20 + (E20*(B20/5)*0.1) + (C20*45)</f>
        <v>0</v>
      </c>
      <c r="G20" s="2">
        <f>VLOOKUP(D20, Benefits!A:C, 2, FALSE)</f>
        <v>0</v>
      </c>
      <c r="H20" s="3">
        <f>VLOOKUP(F20, Tax_Brackets!A:D, 4, TRUE)</f>
        <v>0</v>
      </c>
      <c r="I20" s="2">
        <f>F20 - G20 - (F20 * H20)</f>
        <v>0</v>
      </c>
    </row>
    <row r="21" spans="1:9">
      <c r="A21" t="s">
        <v>28</v>
      </c>
      <c r="B21">
        <v>3.3</v>
      </c>
      <c r="C21">
        <v>1</v>
      </c>
      <c r="D21">
        <f>VLOOKUP(A21, Employees!A:I, 7, FALSE)</f>
        <v>0</v>
      </c>
      <c r="E21" s="2">
        <f>VLOOKUP(A21, Employees!A:I, 9, FALSE)</f>
        <v>0</v>
      </c>
      <c r="F21" s="2">
        <f>E21 + (E21*(B21/5)*0.1) + (C21*45)</f>
        <v>0</v>
      </c>
      <c r="G21" s="2">
        <f>VLOOKUP(D21, Benefits!A:C, 2, FALSE)</f>
        <v>0</v>
      </c>
      <c r="H21" s="3">
        <f>VLOOKUP(F21, Tax_Brackets!A:D, 4, TRUE)</f>
        <v>0</v>
      </c>
      <c r="I21" s="2">
        <f>F21 - G21 - (F21 * H21)</f>
        <v>0</v>
      </c>
    </row>
    <row r="22" spans="1:9">
      <c r="A22" t="s">
        <v>29</v>
      </c>
      <c r="B22">
        <v>4</v>
      </c>
      <c r="C22">
        <v>8</v>
      </c>
      <c r="D22">
        <f>VLOOKUP(A22, Employees!A:I, 7, FALSE)</f>
        <v>0</v>
      </c>
      <c r="E22" s="2">
        <f>VLOOKUP(A22, Employees!A:I, 9, FALSE)</f>
        <v>0</v>
      </c>
      <c r="F22" s="2">
        <f>E22 + (E22*(B22/5)*0.1) + (C22*45)</f>
        <v>0</v>
      </c>
      <c r="G22" s="2">
        <f>VLOOKUP(D22, Benefits!A:C, 2, FALSE)</f>
        <v>0</v>
      </c>
      <c r="H22" s="3">
        <f>VLOOKUP(F22, Tax_Brackets!A:D, 4, TRUE)</f>
        <v>0</v>
      </c>
      <c r="I22" s="2">
        <f>F22 - G22 - (F22 * H22)</f>
        <v>0</v>
      </c>
    </row>
    <row r="23" spans="1:9">
      <c r="A23" t="s">
        <v>30</v>
      </c>
      <c r="B23">
        <v>3.6</v>
      </c>
      <c r="C23">
        <v>1</v>
      </c>
      <c r="D23">
        <f>VLOOKUP(A23, Employees!A:I, 7, FALSE)</f>
        <v>0</v>
      </c>
      <c r="E23" s="2">
        <f>VLOOKUP(A23, Employees!A:I, 9, FALSE)</f>
        <v>0</v>
      </c>
      <c r="F23" s="2">
        <f>E23 + (E23*(B23/5)*0.1) + (C23*45)</f>
        <v>0</v>
      </c>
      <c r="G23" s="2">
        <f>VLOOKUP(D23, Benefits!A:C, 2, FALSE)</f>
        <v>0</v>
      </c>
      <c r="H23" s="3">
        <f>VLOOKUP(F23, Tax_Brackets!A:D, 4, TRUE)</f>
        <v>0</v>
      </c>
      <c r="I23" s="2">
        <f>F23 - G23 - (F23 * H23)</f>
        <v>0</v>
      </c>
    </row>
    <row r="24" spans="1:9">
      <c r="A24" t="s">
        <v>31</v>
      </c>
      <c r="B24">
        <v>3.4</v>
      </c>
      <c r="C24">
        <v>0</v>
      </c>
      <c r="D24">
        <f>VLOOKUP(A24, Employees!A:I, 7, FALSE)</f>
        <v>0</v>
      </c>
      <c r="E24" s="2">
        <f>VLOOKUP(A24, Employees!A:I, 9, FALSE)</f>
        <v>0</v>
      </c>
      <c r="F24" s="2">
        <f>E24 + (E24*(B24/5)*0.1) + (C24*45)</f>
        <v>0</v>
      </c>
      <c r="G24" s="2">
        <f>VLOOKUP(D24, Benefits!A:C, 2, FALSE)</f>
        <v>0</v>
      </c>
      <c r="H24" s="3">
        <f>VLOOKUP(F24, Tax_Brackets!A:D, 4, TRUE)</f>
        <v>0</v>
      </c>
      <c r="I24" s="2">
        <f>F24 - G24 - (F24 * H24)</f>
        <v>0</v>
      </c>
    </row>
    <row r="25" spans="1:9">
      <c r="A25" t="s">
        <v>32</v>
      </c>
      <c r="B25">
        <v>2.4</v>
      </c>
      <c r="C25">
        <v>0</v>
      </c>
      <c r="D25">
        <f>VLOOKUP(A25, Employees!A:I, 7, FALSE)</f>
        <v>0</v>
      </c>
      <c r="E25" s="2">
        <f>VLOOKUP(A25, Employees!A:I, 9, FALSE)</f>
        <v>0</v>
      </c>
      <c r="F25" s="2">
        <f>E25 + (E25*(B25/5)*0.1) + (C25*45)</f>
        <v>0</v>
      </c>
      <c r="G25" s="2">
        <f>VLOOKUP(D25, Benefits!A:C, 2, FALSE)</f>
        <v>0</v>
      </c>
      <c r="H25" s="3">
        <f>VLOOKUP(F25, Tax_Brackets!A:D, 4, TRUE)</f>
        <v>0</v>
      </c>
      <c r="I25" s="2">
        <f>F25 - G25 - (F25 * H25)</f>
        <v>0</v>
      </c>
    </row>
    <row r="26" spans="1:9">
      <c r="A26" t="s">
        <v>33</v>
      </c>
      <c r="B26">
        <v>2</v>
      </c>
      <c r="C26">
        <v>16</v>
      </c>
      <c r="D26">
        <f>VLOOKUP(A26, Employees!A:I, 7, FALSE)</f>
        <v>0</v>
      </c>
      <c r="E26" s="2">
        <f>VLOOKUP(A26, Employees!A:I, 9, FALSE)</f>
        <v>0</v>
      </c>
      <c r="F26" s="2">
        <f>E26 + (E26*(B26/5)*0.1) + (C26*45)</f>
        <v>0</v>
      </c>
      <c r="G26" s="2">
        <f>VLOOKUP(D26, Benefits!A:C, 2, FALSE)</f>
        <v>0</v>
      </c>
      <c r="H26" s="3">
        <f>VLOOKUP(F26, Tax_Brackets!A:D, 4, TRUE)</f>
        <v>0</v>
      </c>
      <c r="I26" s="2">
        <f>F26 - G26 - (F26 * H26)</f>
        <v>0</v>
      </c>
    </row>
    <row r="27" spans="1:9">
      <c r="A27" t="s">
        <v>34</v>
      </c>
      <c r="B27">
        <v>3.6</v>
      </c>
      <c r="C27">
        <v>0</v>
      </c>
      <c r="D27">
        <f>VLOOKUP(A27, Employees!A:I, 7, FALSE)</f>
        <v>0</v>
      </c>
      <c r="E27" s="2">
        <f>VLOOKUP(A27, Employees!A:I, 9, FALSE)</f>
        <v>0</v>
      </c>
      <c r="F27" s="2">
        <f>E27 + (E27*(B27/5)*0.1) + (C27*45)</f>
        <v>0</v>
      </c>
      <c r="G27" s="2">
        <f>VLOOKUP(D27, Benefits!A:C, 2, FALSE)</f>
        <v>0</v>
      </c>
      <c r="H27" s="3">
        <f>VLOOKUP(F27, Tax_Brackets!A:D, 4, TRUE)</f>
        <v>0</v>
      </c>
      <c r="I27" s="2">
        <f>F27 - G27 - (F27 * H27)</f>
        <v>0</v>
      </c>
    </row>
    <row r="28" spans="1:9">
      <c r="A28" t="s">
        <v>35</v>
      </c>
      <c r="B28">
        <v>4</v>
      </c>
      <c r="C28">
        <v>3</v>
      </c>
      <c r="D28">
        <f>VLOOKUP(A28, Employees!A:I, 7, FALSE)</f>
        <v>0</v>
      </c>
      <c r="E28" s="2">
        <f>VLOOKUP(A28, Employees!A:I, 9, FALSE)</f>
        <v>0</v>
      </c>
      <c r="F28" s="2">
        <f>E28 + (E28*(B28/5)*0.1) + (C28*45)</f>
        <v>0</v>
      </c>
      <c r="G28" s="2">
        <f>VLOOKUP(D28, Benefits!A:C, 2, FALSE)</f>
        <v>0</v>
      </c>
      <c r="H28" s="3">
        <f>VLOOKUP(F28, Tax_Brackets!A:D, 4, TRUE)</f>
        <v>0</v>
      </c>
      <c r="I28" s="2">
        <f>F28 - G28 - (F28 * H28)</f>
        <v>0</v>
      </c>
    </row>
    <row r="29" spans="1:9">
      <c r="A29" t="s">
        <v>36</v>
      </c>
      <c r="B29">
        <v>3.2</v>
      </c>
      <c r="C29">
        <v>0</v>
      </c>
      <c r="D29">
        <f>VLOOKUP(A29, Employees!A:I, 7, FALSE)</f>
        <v>0</v>
      </c>
      <c r="E29" s="2">
        <f>VLOOKUP(A29, Employees!A:I, 9, FALSE)</f>
        <v>0</v>
      </c>
      <c r="F29" s="2">
        <f>E29 + (E29*(B29/5)*0.1) + (C29*45)</f>
        <v>0</v>
      </c>
      <c r="G29" s="2">
        <f>VLOOKUP(D29, Benefits!A:C, 2, FALSE)</f>
        <v>0</v>
      </c>
      <c r="H29" s="3">
        <f>VLOOKUP(F29, Tax_Brackets!A:D, 4, TRUE)</f>
        <v>0</v>
      </c>
      <c r="I29" s="2">
        <f>F29 - G29 - (F29 * H29)</f>
        <v>0</v>
      </c>
    </row>
    <row r="30" spans="1:9">
      <c r="A30" t="s">
        <v>37</v>
      </c>
      <c r="B30">
        <v>4.3</v>
      </c>
      <c r="C30">
        <v>0</v>
      </c>
      <c r="D30">
        <f>VLOOKUP(A30, Employees!A:I, 7, FALSE)</f>
        <v>0</v>
      </c>
      <c r="E30" s="2">
        <f>VLOOKUP(A30, Employees!A:I, 9, FALSE)</f>
        <v>0</v>
      </c>
      <c r="F30" s="2">
        <f>E30 + (E30*(B30/5)*0.1) + (C30*45)</f>
        <v>0</v>
      </c>
      <c r="G30" s="2">
        <f>VLOOKUP(D30, Benefits!A:C, 2, FALSE)</f>
        <v>0</v>
      </c>
      <c r="H30" s="3">
        <f>VLOOKUP(F30, Tax_Brackets!A:D, 4, TRUE)</f>
        <v>0</v>
      </c>
      <c r="I30" s="2">
        <f>F30 - G30 - (F30 * H30)</f>
        <v>0</v>
      </c>
    </row>
    <row r="31" spans="1:9">
      <c r="A31" t="s">
        <v>38</v>
      </c>
      <c r="B31">
        <v>3.1</v>
      </c>
      <c r="C31">
        <v>0</v>
      </c>
      <c r="D31">
        <f>VLOOKUP(A31, Employees!A:I, 7, FALSE)</f>
        <v>0</v>
      </c>
      <c r="E31" s="2">
        <f>VLOOKUP(A31, Employees!A:I, 9, FALSE)</f>
        <v>0</v>
      </c>
      <c r="F31" s="2">
        <f>E31 + (E31*(B31/5)*0.1) + (C31*45)</f>
        <v>0</v>
      </c>
      <c r="G31" s="2">
        <f>VLOOKUP(D31, Benefits!A:C, 2, FALSE)</f>
        <v>0</v>
      </c>
      <c r="H31" s="3">
        <f>VLOOKUP(F31, Tax_Brackets!A:D, 4, TRUE)</f>
        <v>0</v>
      </c>
      <c r="I31" s="2">
        <f>F31 - G31 - (F31 * H31)</f>
        <v>0</v>
      </c>
    </row>
    <row r="32" spans="1:9">
      <c r="A32" t="s">
        <v>39</v>
      </c>
      <c r="B32">
        <v>3</v>
      </c>
      <c r="C32">
        <v>0</v>
      </c>
      <c r="D32">
        <f>VLOOKUP(A32, Employees!A:I, 7, FALSE)</f>
        <v>0</v>
      </c>
      <c r="E32" s="2">
        <f>VLOOKUP(A32, Employees!A:I, 9, FALSE)</f>
        <v>0</v>
      </c>
      <c r="F32" s="2">
        <f>E32 + (E32*(B32/5)*0.1) + (C32*45)</f>
        <v>0</v>
      </c>
      <c r="G32" s="2">
        <f>VLOOKUP(D32, Benefits!A:C, 2, FALSE)</f>
        <v>0</v>
      </c>
      <c r="H32" s="3">
        <f>VLOOKUP(F32, Tax_Brackets!A:D, 4, TRUE)</f>
        <v>0</v>
      </c>
      <c r="I32" s="2">
        <f>F32 - G32 - (F32 * H32)</f>
        <v>0</v>
      </c>
    </row>
    <row r="33" spans="1:9">
      <c r="A33" t="s">
        <v>40</v>
      </c>
      <c r="B33">
        <v>2.6</v>
      </c>
      <c r="C33">
        <v>0</v>
      </c>
      <c r="D33">
        <f>VLOOKUP(A33, Employees!A:I, 7, FALSE)</f>
        <v>0</v>
      </c>
      <c r="E33" s="2">
        <f>VLOOKUP(A33, Employees!A:I, 9, FALSE)</f>
        <v>0</v>
      </c>
      <c r="F33" s="2">
        <f>E33 + (E33*(B33/5)*0.1) + (C33*45)</f>
        <v>0</v>
      </c>
      <c r="G33" s="2">
        <f>VLOOKUP(D33, Benefits!A:C, 2, FALSE)</f>
        <v>0</v>
      </c>
      <c r="H33" s="3">
        <f>VLOOKUP(F33, Tax_Brackets!A:D, 4, TRUE)</f>
        <v>0</v>
      </c>
      <c r="I33" s="2">
        <f>F33 - G33 - (F33 * H33)</f>
        <v>0</v>
      </c>
    </row>
    <row r="34" spans="1:9">
      <c r="A34" t="s">
        <v>41</v>
      </c>
      <c r="B34">
        <v>3.1</v>
      </c>
      <c r="C34">
        <v>14</v>
      </c>
      <c r="D34">
        <f>VLOOKUP(A34, Employees!A:I, 7, FALSE)</f>
        <v>0</v>
      </c>
      <c r="E34" s="2">
        <f>VLOOKUP(A34, Employees!A:I, 9, FALSE)</f>
        <v>0</v>
      </c>
      <c r="F34" s="2">
        <f>E34 + (E34*(B34/5)*0.1) + (C34*45)</f>
        <v>0</v>
      </c>
      <c r="G34" s="2">
        <f>VLOOKUP(D34, Benefits!A:C, 2, FALSE)</f>
        <v>0</v>
      </c>
      <c r="H34" s="3">
        <f>VLOOKUP(F34, Tax_Brackets!A:D, 4, TRUE)</f>
        <v>0</v>
      </c>
      <c r="I34" s="2">
        <f>F34 - G34 - (F34 * H34)</f>
        <v>0</v>
      </c>
    </row>
    <row r="35" spans="1:9">
      <c r="A35" t="s">
        <v>42</v>
      </c>
      <c r="B35">
        <v>3.6</v>
      </c>
      <c r="C35">
        <v>0</v>
      </c>
      <c r="D35">
        <f>VLOOKUP(A35, Employees!A:I, 7, FALSE)</f>
        <v>0</v>
      </c>
      <c r="E35" s="2">
        <f>VLOOKUP(A35, Employees!A:I, 9, FALSE)</f>
        <v>0</v>
      </c>
      <c r="F35" s="2">
        <f>E35 + (E35*(B35/5)*0.1) + (C35*45)</f>
        <v>0</v>
      </c>
      <c r="G35" s="2">
        <f>VLOOKUP(D35, Benefits!A:C, 2, FALSE)</f>
        <v>0</v>
      </c>
      <c r="H35" s="3">
        <f>VLOOKUP(F35, Tax_Brackets!A:D, 4, TRUE)</f>
        <v>0</v>
      </c>
      <c r="I35" s="2">
        <f>F35 - G35 - (F35 * H35)</f>
        <v>0</v>
      </c>
    </row>
    <row r="36" spans="1:9">
      <c r="A36" t="s">
        <v>43</v>
      </c>
      <c r="B36">
        <v>3.2</v>
      </c>
      <c r="C36">
        <v>0</v>
      </c>
      <c r="D36">
        <f>VLOOKUP(A36, Employees!A:I, 7, FALSE)</f>
        <v>0</v>
      </c>
      <c r="E36" s="2">
        <f>VLOOKUP(A36, Employees!A:I, 9, FALSE)</f>
        <v>0</v>
      </c>
      <c r="F36" s="2">
        <f>E36 + (E36*(B36/5)*0.1) + (C36*45)</f>
        <v>0</v>
      </c>
      <c r="G36" s="2">
        <f>VLOOKUP(D36, Benefits!A:C, 2, FALSE)</f>
        <v>0</v>
      </c>
      <c r="H36" s="3">
        <f>VLOOKUP(F36, Tax_Brackets!A:D, 4, TRUE)</f>
        <v>0</v>
      </c>
      <c r="I36" s="2">
        <f>F36 - G36 - (F36 * H36)</f>
        <v>0</v>
      </c>
    </row>
    <row r="37" spans="1:9">
      <c r="A37" t="s">
        <v>44</v>
      </c>
      <c r="B37">
        <v>3.5</v>
      </c>
      <c r="C37">
        <v>0</v>
      </c>
      <c r="D37">
        <f>VLOOKUP(A37, Employees!A:I, 7, FALSE)</f>
        <v>0</v>
      </c>
      <c r="E37" s="2">
        <f>VLOOKUP(A37, Employees!A:I, 9, FALSE)</f>
        <v>0</v>
      </c>
      <c r="F37" s="2">
        <f>E37 + (E37*(B37/5)*0.1) + (C37*45)</f>
        <v>0</v>
      </c>
      <c r="G37" s="2">
        <f>VLOOKUP(D37, Benefits!A:C, 2, FALSE)</f>
        <v>0</v>
      </c>
      <c r="H37" s="3">
        <f>VLOOKUP(F37, Tax_Brackets!A:D, 4, TRUE)</f>
        <v>0</v>
      </c>
      <c r="I37" s="2">
        <f>F37 - G37 - (F37 * H37)</f>
        <v>0</v>
      </c>
    </row>
    <row r="38" spans="1:9">
      <c r="A38" t="s">
        <v>45</v>
      </c>
      <c r="B38">
        <v>3.6</v>
      </c>
      <c r="C38">
        <v>0</v>
      </c>
      <c r="D38">
        <f>VLOOKUP(A38, Employees!A:I, 7, FALSE)</f>
        <v>0</v>
      </c>
      <c r="E38" s="2">
        <f>VLOOKUP(A38, Employees!A:I, 9, FALSE)</f>
        <v>0</v>
      </c>
      <c r="F38" s="2">
        <f>E38 + (E38*(B38/5)*0.1) + (C38*45)</f>
        <v>0</v>
      </c>
      <c r="G38" s="2">
        <f>VLOOKUP(D38, Benefits!A:C, 2, FALSE)</f>
        <v>0</v>
      </c>
      <c r="H38" s="3">
        <f>VLOOKUP(F38, Tax_Brackets!A:D, 4, TRUE)</f>
        <v>0</v>
      </c>
      <c r="I38" s="2">
        <f>F38 - G38 - (F38 * H38)</f>
        <v>0</v>
      </c>
    </row>
    <row r="39" spans="1:9">
      <c r="A39" t="s">
        <v>46</v>
      </c>
      <c r="B39">
        <v>3.8</v>
      </c>
      <c r="C39">
        <v>0</v>
      </c>
      <c r="D39">
        <f>VLOOKUP(A39, Employees!A:I, 7, FALSE)</f>
        <v>0</v>
      </c>
      <c r="E39" s="2">
        <f>VLOOKUP(A39, Employees!A:I, 9, FALSE)</f>
        <v>0</v>
      </c>
      <c r="F39" s="2">
        <f>E39 + (E39*(B39/5)*0.1) + (C39*45)</f>
        <v>0</v>
      </c>
      <c r="G39" s="2">
        <f>VLOOKUP(D39, Benefits!A:C, 2, FALSE)</f>
        <v>0</v>
      </c>
      <c r="H39" s="3">
        <f>VLOOKUP(F39, Tax_Brackets!A:D, 4, TRUE)</f>
        <v>0</v>
      </c>
      <c r="I39" s="2">
        <f>F39 - G39 - (F39 * H39)</f>
        <v>0</v>
      </c>
    </row>
    <row r="40" spans="1:9">
      <c r="A40" t="s">
        <v>47</v>
      </c>
      <c r="B40">
        <v>3.4</v>
      </c>
      <c r="C40">
        <v>8</v>
      </c>
      <c r="D40">
        <f>VLOOKUP(A40, Employees!A:I, 7, FALSE)</f>
        <v>0</v>
      </c>
      <c r="E40" s="2">
        <f>VLOOKUP(A40, Employees!A:I, 9, FALSE)</f>
        <v>0</v>
      </c>
      <c r="F40" s="2">
        <f>E40 + (E40*(B40/5)*0.1) + (C40*45)</f>
        <v>0</v>
      </c>
      <c r="G40" s="2">
        <f>VLOOKUP(D40, Benefits!A:C, 2, FALSE)</f>
        <v>0</v>
      </c>
      <c r="H40" s="3">
        <f>VLOOKUP(F40, Tax_Brackets!A:D, 4, TRUE)</f>
        <v>0</v>
      </c>
      <c r="I40" s="2">
        <f>F40 - G40 - (F40 * H40)</f>
        <v>0</v>
      </c>
    </row>
    <row r="41" spans="1:9">
      <c r="A41" t="s">
        <v>48</v>
      </c>
      <c r="B41">
        <v>3.1</v>
      </c>
      <c r="C41">
        <v>9</v>
      </c>
      <c r="D41">
        <f>VLOOKUP(A41, Employees!A:I, 7, FALSE)</f>
        <v>0</v>
      </c>
      <c r="E41" s="2">
        <f>VLOOKUP(A41, Employees!A:I, 9, FALSE)</f>
        <v>0</v>
      </c>
      <c r="F41" s="2">
        <f>E41 + (E41*(B41/5)*0.1) + (C41*45)</f>
        <v>0</v>
      </c>
      <c r="G41" s="2">
        <f>VLOOKUP(D41, Benefits!A:C, 2, FALSE)</f>
        <v>0</v>
      </c>
      <c r="H41" s="3">
        <f>VLOOKUP(F41, Tax_Brackets!A:D, 4, TRUE)</f>
        <v>0</v>
      </c>
      <c r="I41" s="2">
        <f>F41 - G41 - (F41 * H41)</f>
        <v>0</v>
      </c>
    </row>
    <row r="42" spans="1:9">
      <c r="A42" t="s">
        <v>49</v>
      </c>
      <c r="B42">
        <v>4.7</v>
      </c>
      <c r="C42">
        <v>3</v>
      </c>
      <c r="D42">
        <f>VLOOKUP(A42, Employees!A:I, 7, FALSE)</f>
        <v>0</v>
      </c>
      <c r="E42" s="2">
        <f>VLOOKUP(A42, Employees!A:I, 9, FALSE)</f>
        <v>0</v>
      </c>
      <c r="F42" s="2">
        <f>E42 + (E42*(B42/5)*0.1) + (C42*45)</f>
        <v>0</v>
      </c>
      <c r="G42" s="2">
        <f>VLOOKUP(D42, Benefits!A:C, 2, FALSE)</f>
        <v>0</v>
      </c>
      <c r="H42" s="3">
        <f>VLOOKUP(F42, Tax_Brackets!A:D, 4, TRUE)</f>
        <v>0</v>
      </c>
      <c r="I42" s="2">
        <f>F42 - G42 - (F42 * H42)</f>
        <v>0</v>
      </c>
    </row>
    <row r="43" spans="1:9">
      <c r="A43" t="s">
        <v>50</v>
      </c>
      <c r="B43">
        <v>2.4</v>
      </c>
      <c r="C43">
        <v>4</v>
      </c>
      <c r="D43">
        <f>VLOOKUP(A43, Employees!A:I, 7, FALSE)</f>
        <v>0</v>
      </c>
      <c r="E43" s="2">
        <f>VLOOKUP(A43, Employees!A:I, 9, FALSE)</f>
        <v>0</v>
      </c>
      <c r="F43" s="2">
        <f>E43 + (E43*(B43/5)*0.1) + (C43*45)</f>
        <v>0</v>
      </c>
      <c r="G43" s="2">
        <f>VLOOKUP(D43, Benefits!A:C, 2, FALSE)</f>
        <v>0</v>
      </c>
      <c r="H43" s="3">
        <f>VLOOKUP(F43, Tax_Brackets!A:D, 4, TRUE)</f>
        <v>0</v>
      </c>
      <c r="I43" s="2">
        <f>F43 - G43 - (F43 * H43)</f>
        <v>0</v>
      </c>
    </row>
    <row r="44" spans="1:9">
      <c r="A44" t="s">
        <v>51</v>
      </c>
      <c r="B44">
        <v>3.5</v>
      </c>
      <c r="C44">
        <v>0</v>
      </c>
      <c r="D44">
        <f>VLOOKUP(A44, Employees!A:I, 7, FALSE)</f>
        <v>0</v>
      </c>
      <c r="E44" s="2">
        <f>VLOOKUP(A44, Employees!A:I, 9, FALSE)</f>
        <v>0</v>
      </c>
      <c r="F44" s="2">
        <f>E44 + (E44*(B44/5)*0.1) + (C44*45)</f>
        <v>0</v>
      </c>
      <c r="G44" s="2">
        <f>VLOOKUP(D44, Benefits!A:C, 2, FALSE)</f>
        <v>0</v>
      </c>
      <c r="H44" s="3">
        <f>VLOOKUP(F44, Tax_Brackets!A:D, 4, TRUE)</f>
        <v>0</v>
      </c>
      <c r="I44" s="2">
        <f>F44 - G44 - (F44 * H44)</f>
        <v>0</v>
      </c>
    </row>
    <row r="45" spans="1:9">
      <c r="A45" t="s">
        <v>52</v>
      </c>
      <c r="B45">
        <v>3.4</v>
      </c>
      <c r="C45">
        <v>0</v>
      </c>
      <c r="D45">
        <f>VLOOKUP(A45, Employees!A:I, 7, FALSE)</f>
        <v>0</v>
      </c>
      <c r="E45" s="2">
        <f>VLOOKUP(A45, Employees!A:I, 9, FALSE)</f>
        <v>0</v>
      </c>
      <c r="F45" s="2">
        <f>E45 + (E45*(B45/5)*0.1) + (C45*45)</f>
        <v>0</v>
      </c>
      <c r="G45" s="2">
        <f>VLOOKUP(D45, Benefits!A:C, 2, FALSE)</f>
        <v>0</v>
      </c>
      <c r="H45" s="3">
        <f>VLOOKUP(F45, Tax_Brackets!A:D, 4, TRUE)</f>
        <v>0</v>
      </c>
      <c r="I45" s="2">
        <f>F45 - G45 - (F45 * H45)</f>
        <v>0</v>
      </c>
    </row>
    <row r="46" spans="1:9">
      <c r="A46" t="s">
        <v>53</v>
      </c>
      <c r="B46">
        <v>4.3</v>
      </c>
      <c r="C46">
        <v>1</v>
      </c>
      <c r="D46">
        <f>VLOOKUP(A46, Employees!A:I, 7, FALSE)</f>
        <v>0</v>
      </c>
      <c r="E46" s="2">
        <f>VLOOKUP(A46, Employees!A:I, 9, FALSE)</f>
        <v>0</v>
      </c>
      <c r="F46" s="2">
        <f>E46 + (E46*(B46/5)*0.1) + (C46*45)</f>
        <v>0</v>
      </c>
      <c r="G46" s="2">
        <f>VLOOKUP(D46, Benefits!A:C, 2, FALSE)</f>
        <v>0</v>
      </c>
      <c r="H46" s="3">
        <f>VLOOKUP(F46, Tax_Brackets!A:D, 4, TRUE)</f>
        <v>0</v>
      </c>
      <c r="I46" s="2">
        <f>F46 - G46 - (F46 * H46)</f>
        <v>0</v>
      </c>
    </row>
    <row r="47" spans="1:9">
      <c r="A47" t="s">
        <v>54</v>
      </c>
      <c r="B47">
        <v>2.8</v>
      </c>
      <c r="C47">
        <v>1</v>
      </c>
      <c r="D47">
        <f>VLOOKUP(A47, Employees!A:I, 7, FALSE)</f>
        <v>0</v>
      </c>
      <c r="E47" s="2">
        <f>VLOOKUP(A47, Employees!A:I, 9, FALSE)</f>
        <v>0</v>
      </c>
      <c r="F47" s="2">
        <f>E47 + (E47*(B47/5)*0.1) + (C47*45)</f>
        <v>0</v>
      </c>
      <c r="G47" s="2">
        <f>VLOOKUP(D47, Benefits!A:C, 2, FALSE)</f>
        <v>0</v>
      </c>
      <c r="H47" s="3">
        <f>VLOOKUP(F47, Tax_Brackets!A:D, 4, TRUE)</f>
        <v>0</v>
      </c>
      <c r="I47" s="2">
        <f>F47 - G47 - (F47 * H47)</f>
        <v>0</v>
      </c>
    </row>
    <row r="48" spans="1:9">
      <c r="A48" t="s">
        <v>55</v>
      </c>
      <c r="B48">
        <v>4.1</v>
      </c>
      <c r="C48">
        <v>0</v>
      </c>
      <c r="D48">
        <f>VLOOKUP(A48, Employees!A:I, 7, FALSE)</f>
        <v>0</v>
      </c>
      <c r="E48" s="2">
        <f>VLOOKUP(A48, Employees!A:I, 9, FALSE)</f>
        <v>0</v>
      </c>
      <c r="F48" s="2">
        <f>E48 + (E48*(B48/5)*0.1) + (C48*45)</f>
        <v>0</v>
      </c>
      <c r="G48" s="2">
        <f>VLOOKUP(D48, Benefits!A:C, 2, FALSE)</f>
        <v>0</v>
      </c>
      <c r="H48" s="3">
        <f>VLOOKUP(F48, Tax_Brackets!A:D, 4, TRUE)</f>
        <v>0</v>
      </c>
      <c r="I48" s="2">
        <f>F48 - G48 - (F48 * H48)</f>
        <v>0</v>
      </c>
    </row>
    <row r="49" spans="1:9">
      <c r="A49" t="s">
        <v>56</v>
      </c>
      <c r="B49">
        <v>4.7</v>
      </c>
      <c r="C49">
        <v>0</v>
      </c>
      <c r="D49">
        <f>VLOOKUP(A49, Employees!A:I, 7, FALSE)</f>
        <v>0</v>
      </c>
      <c r="E49" s="2">
        <f>VLOOKUP(A49, Employees!A:I, 9, FALSE)</f>
        <v>0</v>
      </c>
      <c r="F49" s="2">
        <f>E49 + (E49*(B49/5)*0.1) + (C49*45)</f>
        <v>0</v>
      </c>
      <c r="G49" s="2">
        <f>VLOOKUP(D49, Benefits!A:C, 2, FALSE)</f>
        <v>0</v>
      </c>
      <c r="H49" s="3">
        <f>VLOOKUP(F49, Tax_Brackets!A:D, 4, TRUE)</f>
        <v>0</v>
      </c>
      <c r="I49" s="2">
        <f>F49 - G49 - (F49 * H49)</f>
        <v>0</v>
      </c>
    </row>
    <row r="50" spans="1:9">
      <c r="A50" t="s">
        <v>57</v>
      </c>
      <c r="B50">
        <v>2.8</v>
      </c>
      <c r="C50">
        <v>2</v>
      </c>
      <c r="D50">
        <f>VLOOKUP(A50, Employees!A:I, 7, FALSE)</f>
        <v>0</v>
      </c>
      <c r="E50" s="2">
        <f>VLOOKUP(A50, Employees!A:I, 9, FALSE)</f>
        <v>0</v>
      </c>
      <c r="F50" s="2">
        <f>E50 + (E50*(B50/5)*0.1) + (C50*45)</f>
        <v>0</v>
      </c>
      <c r="G50" s="2">
        <f>VLOOKUP(D50, Benefits!A:C, 2, FALSE)</f>
        <v>0</v>
      </c>
      <c r="H50" s="3">
        <f>VLOOKUP(F50, Tax_Brackets!A:D, 4, TRUE)</f>
        <v>0</v>
      </c>
      <c r="I50" s="2">
        <f>F50 - G50 - (F50 * H50)</f>
        <v>0</v>
      </c>
    </row>
    <row r="51" spans="1:9">
      <c r="A51" t="s">
        <v>58</v>
      </c>
      <c r="B51">
        <v>4</v>
      </c>
      <c r="C51">
        <v>0</v>
      </c>
      <c r="D51">
        <f>VLOOKUP(A51, Employees!A:I, 7, FALSE)</f>
        <v>0</v>
      </c>
      <c r="E51" s="2">
        <f>VLOOKUP(A51, Employees!A:I, 9, FALSE)</f>
        <v>0</v>
      </c>
      <c r="F51" s="2">
        <f>E51 + (E51*(B51/5)*0.1) + (C51*45)</f>
        <v>0</v>
      </c>
      <c r="G51" s="2">
        <f>VLOOKUP(D51, Benefits!A:C, 2, FALSE)</f>
        <v>0</v>
      </c>
      <c r="H51" s="3">
        <f>VLOOKUP(F51, Tax_Brackets!A:D, 4, TRUE)</f>
        <v>0</v>
      </c>
      <c r="I51" s="2">
        <f>F51 - G51 - (F51 * H51)</f>
        <v>0</v>
      </c>
    </row>
    <row r="52" spans="1:9">
      <c r="A52" t="s">
        <v>59</v>
      </c>
      <c r="B52">
        <v>3.3</v>
      </c>
      <c r="C52">
        <v>0</v>
      </c>
      <c r="D52">
        <f>VLOOKUP(A52, Employees!A:I, 7, FALSE)</f>
        <v>0</v>
      </c>
      <c r="E52" s="2">
        <f>VLOOKUP(A52, Employees!A:I, 9, FALSE)</f>
        <v>0</v>
      </c>
      <c r="F52" s="2">
        <f>E52 + (E52*(B52/5)*0.1) + (C52*45)</f>
        <v>0</v>
      </c>
      <c r="G52" s="2">
        <f>VLOOKUP(D52, Benefits!A:C, 2, FALSE)</f>
        <v>0</v>
      </c>
      <c r="H52" s="3">
        <f>VLOOKUP(F52, Tax_Brackets!A:D, 4, TRUE)</f>
        <v>0</v>
      </c>
      <c r="I52" s="2">
        <f>F52 - G52 - (F52 * H52)</f>
        <v>0</v>
      </c>
    </row>
    <row r="53" spans="1:9">
      <c r="A53" t="s">
        <v>60</v>
      </c>
      <c r="B53">
        <v>3.7</v>
      </c>
      <c r="C53">
        <v>0</v>
      </c>
      <c r="D53">
        <f>VLOOKUP(A53, Employees!A:I, 7, FALSE)</f>
        <v>0</v>
      </c>
      <c r="E53" s="2">
        <f>VLOOKUP(A53, Employees!A:I, 9, FALSE)</f>
        <v>0</v>
      </c>
      <c r="F53" s="2">
        <f>E53 + (E53*(B53/5)*0.1) + (C53*45)</f>
        <v>0</v>
      </c>
      <c r="G53" s="2">
        <f>VLOOKUP(D53, Benefits!A:C, 2, FALSE)</f>
        <v>0</v>
      </c>
      <c r="H53" s="3">
        <f>VLOOKUP(F53, Tax_Brackets!A:D, 4, TRUE)</f>
        <v>0</v>
      </c>
      <c r="I53" s="2">
        <f>F53 - G53 - (F53 * H53)</f>
        <v>0</v>
      </c>
    </row>
    <row r="54" spans="1:9">
      <c r="A54" t="s">
        <v>61</v>
      </c>
      <c r="B54">
        <v>3.9</v>
      </c>
      <c r="C54">
        <v>0</v>
      </c>
      <c r="D54">
        <f>VLOOKUP(A54, Employees!A:I, 7, FALSE)</f>
        <v>0</v>
      </c>
      <c r="E54" s="2">
        <f>VLOOKUP(A54, Employees!A:I, 9, FALSE)</f>
        <v>0</v>
      </c>
      <c r="F54" s="2">
        <f>E54 + (E54*(B54/5)*0.1) + (C54*45)</f>
        <v>0</v>
      </c>
      <c r="G54" s="2">
        <f>VLOOKUP(D54, Benefits!A:C, 2, FALSE)</f>
        <v>0</v>
      </c>
      <c r="H54" s="3">
        <f>VLOOKUP(F54, Tax_Brackets!A:D, 4, TRUE)</f>
        <v>0</v>
      </c>
      <c r="I54" s="2">
        <f>F54 - G54 - (F54 * H54)</f>
        <v>0</v>
      </c>
    </row>
    <row r="55" spans="1:9">
      <c r="A55" t="s">
        <v>62</v>
      </c>
      <c r="B55">
        <v>2.8</v>
      </c>
      <c r="C55">
        <v>0</v>
      </c>
      <c r="D55">
        <f>VLOOKUP(A55, Employees!A:I, 7, FALSE)</f>
        <v>0</v>
      </c>
      <c r="E55" s="2">
        <f>VLOOKUP(A55, Employees!A:I, 9, FALSE)</f>
        <v>0</v>
      </c>
      <c r="F55" s="2">
        <f>E55 + (E55*(B55/5)*0.1) + (C55*45)</f>
        <v>0</v>
      </c>
      <c r="G55" s="2">
        <f>VLOOKUP(D55, Benefits!A:C, 2, FALSE)</f>
        <v>0</v>
      </c>
      <c r="H55" s="3">
        <f>VLOOKUP(F55, Tax_Brackets!A:D, 4, TRUE)</f>
        <v>0</v>
      </c>
      <c r="I55" s="2">
        <f>F55 - G55 - (F55 * H55)</f>
        <v>0</v>
      </c>
    </row>
    <row r="56" spans="1:9">
      <c r="A56" t="s">
        <v>63</v>
      </c>
      <c r="B56">
        <v>3.4</v>
      </c>
      <c r="C56">
        <v>0</v>
      </c>
      <c r="D56">
        <f>VLOOKUP(A56, Employees!A:I, 7, FALSE)</f>
        <v>0</v>
      </c>
      <c r="E56" s="2">
        <f>VLOOKUP(A56, Employees!A:I, 9, FALSE)</f>
        <v>0</v>
      </c>
      <c r="F56" s="2">
        <f>E56 + (E56*(B56/5)*0.1) + (C56*45)</f>
        <v>0</v>
      </c>
      <c r="G56" s="2">
        <f>VLOOKUP(D56, Benefits!A:C, 2, FALSE)</f>
        <v>0</v>
      </c>
      <c r="H56" s="3">
        <f>VLOOKUP(F56, Tax_Brackets!A:D, 4, TRUE)</f>
        <v>0</v>
      </c>
      <c r="I56" s="2">
        <f>F56 - G56 - (F56 * H56)</f>
        <v>0</v>
      </c>
    </row>
    <row r="57" spans="1:9">
      <c r="A57" t="s">
        <v>64</v>
      </c>
      <c r="B57">
        <v>2.8</v>
      </c>
      <c r="C57">
        <v>0</v>
      </c>
      <c r="D57">
        <f>VLOOKUP(A57, Employees!A:I, 7, FALSE)</f>
        <v>0</v>
      </c>
      <c r="E57" s="2">
        <f>VLOOKUP(A57, Employees!A:I, 9, FALSE)</f>
        <v>0</v>
      </c>
      <c r="F57" s="2">
        <f>E57 + (E57*(B57/5)*0.1) + (C57*45)</f>
        <v>0</v>
      </c>
      <c r="G57" s="2">
        <f>VLOOKUP(D57, Benefits!A:C, 2, FALSE)</f>
        <v>0</v>
      </c>
      <c r="H57" s="3">
        <f>VLOOKUP(F57, Tax_Brackets!A:D, 4, TRUE)</f>
        <v>0</v>
      </c>
      <c r="I57" s="2">
        <f>F57 - G57 - (F57 * H57)</f>
        <v>0</v>
      </c>
    </row>
    <row r="58" spans="1:9">
      <c r="A58" t="s">
        <v>65</v>
      </c>
      <c r="B58">
        <v>2</v>
      </c>
      <c r="C58">
        <v>0</v>
      </c>
      <c r="D58">
        <f>VLOOKUP(A58, Employees!A:I, 7, FALSE)</f>
        <v>0</v>
      </c>
      <c r="E58" s="2">
        <f>VLOOKUP(A58, Employees!A:I, 9, FALSE)</f>
        <v>0</v>
      </c>
      <c r="F58" s="2">
        <f>E58 + (E58*(B58/5)*0.1) + (C58*45)</f>
        <v>0</v>
      </c>
      <c r="G58" s="2">
        <f>VLOOKUP(D58, Benefits!A:C, 2, FALSE)</f>
        <v>0</v>
      </c>
      <c r="H58" s="3">
        <f>VLOOKUP(F58, Tax_Brackets!A:D, 4, TRUE)</f>
        <v>0</v>
      </c>
      <c r="I58" s="2">
        <f>F58 - G58 - (F58 * H58)</f>
        <v>0</v>
      </c>
    </row>
    <row r="59" spans="1:9">
      <c r="A59" t="s">
        <v>66</v>
      </c>
      <c r="B59">
        <v>2.8</v>
      </c>
      <c r="C59">
        <v>0</v>
      </c>
      <c r="D59">
        <f>VLOOKUP(A59, Employees!A:I, 7, FALSE)</f>
        <v>0</v>
      </c>
      <c r="E59" s="2">
        <f>VLOOKUP(A59, Employees!A:I, 9, FALSE)</f>
        <v>0</v>
      </c>
      <c r="F59" s="2">
        <f>E59 + (E59*(B59/5)*0.1) + (C59*45)</f>
        <v>0</v>
      </c>
      <c r="G59" s="2">
        <f>VLOOKUP(D59, Benefits!A:C, 2, FALSE)</f>
        <v>0</v>
      </c>
      <c r="H59" s="3">
        <f>VLOOKUP(F59, Tax_Brackets!A:D, 4, TRUE)</f>
        <v>0</v>
      </c>
      <c r="I59" s="2">
        <f>F59 - G59 - (F59 * H59)</f>
        <v>0</v>
      </c>
    </row>
    <row r="60" spans="1:9">
      <c r="A60" t="s">
        <v>67</v>
      </c>
      <c r="B60">
        <v>3.2</v>
      </c>
      <c r="C60">
        <v>0</v>
      </c>
      <c r="D60">
        <f>VLOOKUP(A60, Employees!A:I, 7, FALSE)</f>
        <v>0</v>
      </c>
      <c r="E60" s="2">
        <f>VLOOKUP(A60, Employees!A:I, 9, FALSE)</f>
        <v>0</v>
      </c>
      <c r="F60" s="2">
        <f>E60 + (E60*(B60/5)*0.1) + (C60*45)</f>
        <v>0</v>
      </c>
      <c r="G60" s="2">
        <f>VLOOKUP(D60, Benefits!A:C, 2, FALSE)</f>
        <v>0</v>
      </c>
      <c r="H60" s="3">
        <f>VLOOKUP(F60, Tax_Brackets!A:D, 4, TRUE)</f>
        <v>0</v>
      </c>
      <c r="I60" s="2">
        <f>F60 - G60 - (F60 * H60)</f>
        <v>0</v>
      </c>
    </row>
    <row r="61" spans="1:9">
      <c r="A61" t="s">
        <v>68</v>
      </c>
      <c r="B61">
        <v>3.8</v>
      </c>
      <c r="C61">
        <v>0</v>
      </c>
      <c r="D61">
        <f>VLOOKUP(A61, Employees!A:I, 7, FALSE)</f>
        <v>0</v>
      </c>
      <c r="E61" s="2">
        <f>VLOOKUP(A61, Employees!A:I, 9, FALSE)</f>
        <v>0</v>
      </c>
      <c r="F61" s="2">
        <f>E61 + (E61*(B61/5)*0.1) + (C61*45)</f>
        <v>0</v>
      </c>
      <c r="G61" s="2">
        <f>VLOOKUP(D61, Benefits!A:C, 2, FALSE)</f>
        <v>0</v>
      </c>
      <c r="H61" s="3">
        <f>VLOOKUP(F61, Tax_Brackets!A:D, 4, TRUE)</f>
        <v>0</v>
      </c>
      <c r="I61" s="2">
        <f>F61 - G61 - (F61 * H61)</f>
        <v>0</v>
      </c>
    </row>
    <row r="62" spans="1:9">
      <c r="A62" t="s">
        <v>69</v>
      </c>
      <c r="B62">
        <v>2.2</v>
      </c>
      <c r="C62">
        <v>0</v>
      </c>
      <c r="D62">
        <f>VLOOKUP(A62, Employees!A:I, 7, FALSE)</f>
        <v>0</v>
      </c>
      <c r="E62" s="2">
        <f>VLOOKUP(A62, Employees!A:I, 9, FALSE)</f>
        <v>0</v>
      </c>
      <c r="F62" s="2">
        <f>E62 + (E62*(B62/5)*0.1) + (C62*45)</f>
        <v>0</v>
      </c>
      <c r="G62" s="2">
        <f>VLOOKUP(D62, Benefits!A:C, 2, FALSE)</f>
        <v>0</v>
      </c>
      <c r="H62" s="3">
        <f>VLOOKUP(F62, Tax_Brackets!A:D, 4, TRUE)</f>
        <v>0</v>
      </c>
      <c r="I62" s="2">
        <f>F62 - G62 - (F62 * H62)</f>
        <v>0</v>
      </c>
    </row>
    <row r="63" spans="1:9">
      <c r="A63" t="s">
        <v>70</v>
      </c>
      <c r="B63">
        <v>4.1</v>
      </c>
      <c r="C63">
        <v>21</v>
      </c>
      <c r="D63">
        <f>VLOOKUP(A63, Employees!A:I, 7, FALSE)</f>
        <v>0</v>
      </c>
      <c r="E63" s="2">
        <f>VLOOKUP(A63, Employees!A:I, 9, FALSE)</f>
        <v>0</v>
      </c>
      <c r="F63" s="2">
        <f>E63 + (E63*(B63/5)*0.1) + (C63*45)</f>
        <v>0</v>
      </c>
      <c r="G63" s="2">
        <f>VLOOKUP(D63, Benefits!A:C, 2, FALSE)</f>
        <v>0</v>
      </c>
      <c r="H63" s="3">
        <f>VLOOKUP(F63, Tax_Brackets!A:D, 4, TRUE)</f>
        <v>0</v>
      </c>
      <c r="I63" s="2">
        <f>F63 - G63 - (F63 * H63)</f>
        <v>0</v>
      </c>
    </row>
    <row r="64" spans="1:9">
      <c r="A64" t="s">
        <v>71</v>
      </c>
      <c r="B64">
        <v>3.4</v>
      </c>
      <c r="C64">
        <v>0</v>
      </c>
      <c r="D64">
        <f>VLOOKUP(A64, Employees!A:I, 7, FALSE)</f>
        <v>0</v>
      </c>
      <c r="E64" s="2">
        <f>VLOOKUP(A64, Employees!A:I, 9, FALSE)</f>
        <v>0</v>
      </c>
      <c r="F64" s="2">
        <f>E64 + (E64*(B64/5)*0.1) + (C64*45)</f>
        <v>0</v>
      </c>
      <c r="G64" s="2">
        <f>VLOOKUP(D64, Benefits!A:C, 2, FALSE)</f>
        <v>0</v>
      </c>
      <c r="H64" s="3">
        <f>VLOOKUP(F64, Tax_Brackets!A:D, 4, TRUE)</f>
        <v>0</v>
      </c>
      <c r="I64" s="2">
        <f>F64 - G64 - (F64 * H64)</f>
        <v>0</v>
      </c>
    </row>
    <row r="65" spans="1:9">
      <c r="A65" t="s">
        <v>72</v>
      </c>
      <c r="B65">
        <v>3.9</v>
      </c>
      <c r="C65">
        <v>0</v>
      </c>
      <c r="D65">
        <f>VLOOKUP(A65, Employees!A:I, 7, FALSE)</f>
        <v>0</v>
      </c>
      <c r="E65" s="2">
        <f>VLOOKUP(A65, Employees!A:I, 9, FALSE)</f>
        <v>0</v>
      </c>
      <c r="F65" s="2">
        <f>E65 + (E65*(B65/5)*0.1) + (C65*45)</f>
        <v>0</v>
      </c>
      <c r="G65" s="2">
        <f>VLOOKUP(D65, Benefits!A:C, 2, FALSE)</f>
        <v>0</v>
      </c>
      <c r="H65" s="3">
        <f>VLOOKUP(F65, Tax_Brackets!A:D, 4, TRUE)</f>
        <v>0</v>
      </c>
      <c r="I65" s="2">
        <f>F65 - G65 - (F65 * H65)</f>
        <v>0</v>
      </c>
    </row>
    <row r="66" spans="1:9">
      <c r="A66" t="s">
        <v>73</v>
      </c>
      <c r="B66">
        <v>2.2</v>
      </c>
      <c r="C66">
        <v>0</v>
      </c>
      <c r="D66">
        <f>VLOOKUP(A66, Employees!A:I, 7, FALSE)</f>
        <v>0</v>
      </c>
      <c r="E66" s="2">
        <f>VLOOKUP(A66, Employees!A:I, 9, FALSE)</f>
        <v>0</v>
      </c>
      <c r="F66" s="2">
        <f>E66 + (E66*(B66/5)*0.1) + (C66*45)</f>
        <v>0</v>
      </c>
      <c r="G66" s="2">
        <f>VLOOKUP(D66, Benefits!A:C, 2, FALSE)</f>
        <v>0</v>
      </c>
      <c r="H66" s="3">
        <f>VLOOKUP(F66, Tax_Brackets!A:D, 4, TRUE)</f>
        <v>0</v>
      </c>
      <c r="I66" s="2">
        <f>F66 - G66 - (F66 * H66)</f>
        <v>0</v>
      </c>
    </row>
    <row r="67" spans="1:9">
      <c r="A67" t="s">
        <v>74</v>
      </c>
      <c r="B67">
        <v>4.6</v>
      </c>
      <c r="C67">
        <v>9</v>
      </c>
      <c r="D67">
        <f>VLOOKUP(A67, Employees!A:I, 7, FALSE)</f>
        <v>0</v>
      </c>
      <c r="E67" s="2">
        <f>VLOOKUP(A67, Employees!A:I, 9, FALSE)</f>
        <v>0</v>
      </c>
      <c r="F67" s="2">
        <f>E67 + (E67*(B67/5)*0.1) + (C67*45)</f>
        <v>0</v>
      </c>
      <c r="G67" s="2">
        <f>VLOOKUP(D67, Benefits!A:C, 2, FALSE)</f>
        <v>0</v>
      </c>
      <c r="H67" s="3">
        <f>VLOOKUP(F67, Tax_Brackets!A:D, 4, TRUE)</f>
        <v>0</v>
      </c>
      <c r="I67" s="2">
        <f>F67 - G67 - (F67 * H67)</f>
        <v>0</v>
      </c>
    </row>
    <row r="68" spans="1:9">
      <c r="A68" t="s">
        <v>75</v>
      </c>
      <c r="B68">
        <v>3</v>
      </c>
      <c r="C68">
        <v>0</v>
      </c>
      <c r="D68">
        <f>VLOOKUP(A68, Employees!A:I, 7, FALSE)</f>
        <v>0</v>
      </c>
      <c r="E68" s="2">
        <f>VLOOKUP(A68, Employees!A:I, 9, FALSE)</f>
        <v>0</v>
      </c>
      <c r="F68" s="2">
        <f>E68 + (E68*(B68/5)*0.1) + (C68*45)</f>
        <v>0</v>
      </c>
      <c r="G68" s="2">
        <f>VLOOKUP(D68, Benefits!A:C, 2, FALSE)</f>
        <v>0</v>
      </c>
      <c r="H68" s="3">
        <f>VLOOKUP(F68, Tax_Brackets!A:D, 4, TRUE)</f>
        <v>0</v>
      </c>
      <c r="I68" s="2">
        <f>F68 - G68 - (F68 * H68)</f>
        <v>0</v>
      </c>
    </row>
    <row r="69" spans="1:9">
      <c r="A69" t="s">
        <v>76</v>
      </c>
      <c r="B69">
        <v>3.7</v>
      </c>
      <c r="C69">
        <v>8</v>
      </c>
      <c r="D69">
        <f>VLOOKUP(A69, Employees!A:I, 7, FALSE)</f>
        <v>0</v>
      </c>
      <c r="E69" s="2">
        <f>VLOOKUP(A69, Employees!A:I, 9, FALSE)</f>
        <v>0</v>
      </c>
      <c r="F69" s="2">
        <f>E69 + (E69*(B69/5)*0.1) + (C69*45)</f>
        <v>0</v>
      </c>
      <c r="G69" s="2">
        <f>VLOOKUP(D69, Benefits!A:C, 2, FALSE)</f>
        <v>0</v>
      </c>
      <c r="H69" s="3">
        <f>VLOOKUP(F69, Tax_Brackets!A:D, 4, TRUE)</f>
        <v>0</v>
      </c>
      <c r="I69" s="2">
        <f>F69 - G69 - (F69 * H69)</f>
        <v>0</v>
      </c>
    </row>
    <row r="70" spans="1:9">
      <c r="A70" t="s">
        <v>77</v>
      </c>
      <c r="B70">
        <v>3</v>
      </c>
      <c r="C70">
        <v>0</v>
      </c>
      <c r="D70">
        <f>VLOOKUP(A70, Employees!A:I, 7, FALSE)</f>
        <v>0</v>
      </c>
      <c r="E70" s="2">
        <f>VLOOKUP(A70, Employees!A:I, 9, FALSE)</f>
        <v>0</v>
      </c>
      <c r="F70" s="2">
        <f>E70 + (E70*(B70/5)*0.1) + (C70*45)</f>
        <v>0</v>
      </c>
      <c r="G70" s="2">
        <f>VLOOKUP(D70, Benefits!A:C, 2, FALSE)</f>
        <v>0</v>
      </c>
      <c r="H70" s="3">
        <f>VLOOKUP(F70, Tax_Brackets!A:D, 4, TRUE)</f>
        <v>0</v>
      </c>
      <c r="I70" s="2">
        <f>F70 - G70 - (F70 * H70)</f>
        <v>0</v>
      </c>
    </row>
    <row r="71" spans="1:9">
      <c r="A71" t="s">
        <v>78</v>
      </c>
      <c r="B71">
        <v>2.9</v>
      </c>
      <c r="C71">
        <v>8</v>
      </c>
      <c r="D71">
        <f>VLOOKUP(A71, Employees!A:I, 7, FALSE)</f>
        <v>0</v>
      </c>
      <c r="E71" s="2">
        <f>VLOOKUP(A71, Employees!A:I, 9, FALSE)</f>
        <v>0</v>
      </c>
      <c r="F71" s="2">
        <f>E71 + (E71*(B71/5)*0.1) + (C71*45)</f>
        <v>0</v>
      </c>
      <c r="G71" s="2">
        <f>VLOOKUP(D71, Benefits!A:C, 2, FALSE)</f>
        <v>0</v>
      </c>
      <c r="H71" s="3">
        <f>VLOOKUP(F71, Tax_Brackets!A:D, 4, TRUE)</f>
        <v>0</v>
      </c>
      <c r="I71" s="2">
        <f>F71 - G71 - (F71 * H71)</f>
        <v>0</v>
      </c>
    </row>
    <row r="72" spans="1:9">
      <c r="A72" t="s">
        <v>79</v>
      </c>
      <c r="B72">
        <v>3.7</v>
      </c>
      <c r="C72">
        <v>0</v>
      </c>
      <c r="D72">
        <f>VLOOKUP(A72, Employees!A:I, 7, FALSE)</f>
        <v>0</v>
      </c>
      <c r="E72" s="2">
        <f>VLOOKUP(A72, Employees!A:I, 9, FALSE)</f>
        <v>0</v>
      </c>
      <c r="F72" s="2">
        <f>E72 + (E72*(B72/5)*0.1) + (C72*45)</f>
        <v>0</v>
      </c>
      <c r="G72" s="2">
        <f>VLOOKUP(D72, Benefits!A:C, 2, FALSE)</f>
        <v>0</v>
      </c>
      <c r="H72" s="3">
        <f>VLOOKUP(F72, Tax_Brackets!A:D, 4, TRUE)</f>
        <v>0</v>
      </c>
      <c r="I72" s="2">
        <f>F72 - G72 - (F72 * H72)</f>
        <v>0</v>
      </c>
    </row>
    <row r="73" spans="1:9">
      <c r="A73" t="s">
        <v>80</v>
      </c>
      <c r="B73">
        <v>3.5</v>
      </c>
      <c r="C73">
        <v>2</v>
      </c>
      <c r="D73">
        <f>VLOOKUP(A73, Employees!A:I, 7, FALSE)</f>
        <v>0</v>
      </c>
      <c r="E73" s="2">
        <f>VLOOKUP(A73, Employees!A:I, 9, FALSE)</f>
        <v>0</v>
      </c>
      <c r="F73" s="2">
        <f>E73 + (E73*(B73/5)*0.1) + (C73*45)</f>
        <v>0</v>
      </c>
      <c r="G73" s="2">
        <f>VLOOKUP(D73, Benefits!A:C, 2, FALSE)</f>
        <v>0</v>
      </c>
      <c r="H73" s="3">
        <f>VLOOKUP(F73, Tax_Brackets!A:D, 4, TRUE)</f>
        <v>0</v>
      </c>
      <c r="I73" s="2">
        <f>F73 - G73 - (F73 * H73)</f>
        <v>0</v>
      </c>
    </row>
    <row r="74" spans="1:9">
      <c r="A74" t="s">
        <v>81</v>
      </c>
      <c r="B74">
        <v>3</v>
      </c>
      <c r="C74">
        <v>1</v>
      </c>
      <c r="D74">
        <f>VLOOKUP(A74, Employees!A:I, 7, FALSE)</f>
        <v>0</v>
      </c>
      <c r="E74" s="2">
        <f>VLOOKUP(A74, Employees!A:I, 9, FALSE)</f>
        <v>0</v>
      </c>
      <c r="F74" s="2">
        <f>E74 + (E74*(B74/5)*0.1) + (C74*45)</f>
        <v>0</v>
      </c>
      <c r="G74" s="2">
        <f>VLOOKUP(D74, Benefits!A:C, 2, FALSE)</f>
        <v>0</v>
      </c>
      <c r="H74" s="3">
        <f>VLOOKUP(F74, Tax_Brackets!A:D, 4, TRUE)</f>
        <v>0</v>
      </c>
      <c r="I74" s="2">
        <f>F74 - G74 - (F74 * H74)</f>
        <v>0</v>
      </c>
    </row>
    <row r="75" spans="1:9">
      <c r="A75" t="s">
        <v>82</v>
      </c>
      <c r="B75">
        <v>3.2</v>
      </c>
      <c r="C75">
        <v>14</v>
      </c>
      <c r="D75">
        <f>VLOOKUP(A75, Employees!A:I, 7, FALSE)</f>
        <v>0</v>
      </c>
      <c r="E75" s="2">
        <f>VLOOKUP(A75, Employees!A:I, 9, FALSE)</f>
        <v>0</v>
      </c>
      <c r="F75" s="2">
        <f>E75 + (E75*(B75/5)*0.1) + (C75*45)</f>
        <v>0</v>
      </c>
      <c r="G75" s="2">
        <f>VLOOKUP(D75, Benefits!A:C, 2, FALSE)</f>
        <v>0</v>
      </c>
      <c r="H75" s="3">
        <f>VLOOKUP(F75, Tax_Brackets!A:D, 4, TRUE)</f>
        <v>0</v>
      </c>
      <c r="I75" s="2">
        <f>F75 - G75 - (F75 * H75)</f>
        <v>0</v>
      </c>
    </row>
    <row r="76" spans="1:9">
      <c r="A76" t="s">
        <v>83</v>
      </c>
      <c r="B76">
        <v>3.4</v>
      </c>
      <c r="C76">
        <v>20</v>
      </c>
      <c r="D76">
        <f>VLOOKUP(A76, Employees!A:I, 7, FALSE)</f>
        <v>0</v>
      </c>
      <c r="E76" s="2">
        <f>VLOOKUP(A76, Employees!A:I, 9, FALSE)</f>
        <v>0</v>
      </c>
      <c r="F76" s="2">
        <f>E76 + (E76*(B76/5)*0.1) + (C76*45)</f>
        <v>0</v>
      </c>
      <c r="G76" s="2">
        <f>VLOOKUP(D76, Benefits!A:C, 2, FALSE)</f>
        <v>0</v>
      </c>
      <c r="H76" s="3">
        <f>VLOOKUP(F76, Tax_Brackets!A:D, 4, TRUE)</f>
        <v>0</v>
      </c>
      <c r="I76" s="2">
        <f>F76 - G76 - (F76 * H76)</f>
        <v>0</v>
      </c>
    </row>
    <row r="77" spans="1:9">
      <c r="A77" t="s">
        <v>84</v>
      </c>
      <c r="B77">
        <v>2.7</v>
      </c>
      <c r="C77">
        <v>0</v>
      </c>
      <c r="D77">
        <f>VLOOKUP(A77, Employees!A:I, 7, FALSE)</f>
        <v>0</v>
      </c>
      <c r="E77" s="2">
        <f>VLOOKUP(A77, Employees!A:I, 9, FALSE)</f>
        <v>0</v>
      </c>
      <c r="F77" s="2">
        <f>E77 + (E77*(B77/5)*0.1) + (C77*45)</f>
        <v>0</v>
      </c>
      <c r="G77" s="2">
        <f>VLOOKUP(D77, Benefits!A:C, 2, FALSE)</f>
        <v>0</v>
      </c>
      <c r="H77" s="3">
        <f>VLOOKUP(F77, Tax_Brackets!A:D, 4, TRUE)</f>
        <v>0</v>
      </c>
      <c r="I77" s="2">
        <f>F77 - G77 - (F77 * H77)</f>
        <v>0</v>
      </c>
    </row>
    <row r="78" spans="1:9">
      <c r="A78" t="s">
        <v>85</v>
      </c>
      <c r="B78">
        <v>3.8</v>
      </c>
      <c r="C78">
        <v>0</v>
      </c>
      <c r="D78">
        <f>VLOOKUP(A78, Employees!A:I, 7, FALSE)</f>
        <v>0</v>
      </c>
      <c r="E78" s="2">
        <f>VLOOKUP(A78, Employees!A:I, 9, FALSE)</f>
        <v>0</v>
      </c>
      <c r="F78" s="2">
        <f>E78 + (E78*(B78/5)*0.1) + (C78*45)</f>
        <v>0</v>
      </c>
      <c r="G78" s="2">
        <f>VLOOKUP(D78, Benefits!A:C, 2, FALSE)</f>
        <v>0</v>
      </c>
      <c r="H78" s="3">
        <f>VLOOKUP(F78, Tax_Brackets!A:D, 4, TRUE)</f>
        <v>0</v>
      </c>
      <c r="I78" s="2">
        <f>F78 - G78 - (F78 * H78)</f>
        <v>0</v>
      </c>
    </row>
    <row r="79" spans="1:9">
      <c r="A79" t="s">
        <v>86</v>
      </c>
      <c r="B79">
        <v>3</v>
      </c>
      <c r="C79">
        <v>0</v>
      </c>
      <c r="D79">
        <f>VLOOKUP(A79, Employees!A:I, 7, FALSE)</f>
        <v>0</v>
      </c>
      <c r="E79" s="2">
        <f>VLOOKUP(A79, Employees!A:I, 9, FALSE)</f>
        <v>0</v>
      </c>
      <c r="F79" s="2">
        <f>E79 + (E79*(B79/5)*0.1) + (C79*45)</f>
        <v>0</v>
      </c>
      <c r="G79" s="2">
        <f>VLOOKUP(D79, Benefits!A:C, 2, FALSE)</f>
        <v>0</v>
      </c>
      <c r="H79" s="3">
        <f>VLOOKUP(F79, Tax_Brackets!A:D, 4, TRUE)</f>
        <v>0</v>
      </c>
      <c r="I79" s="2">
        <f>F79 - G79 - (F79 * H79)</f>
        <v>0</v>
      </c>
    </row>
    <row r="80" spans="1:9">
      <c r="A80" t="s">
        <v>87</v>
      </c>
      <c r="B80">
        <v>4.1</v>
      </c>
      <c r="C80">
        <v>0</v>
      </c>
      <c r="D80">
        <f>VLOOKUP(A80, Employees!A:I, 7, FALSE)</f>
        <v>0</v>
      </c>
      <c r="E80" s="2">
        <f>VLOOKUP(A80, Employees!A:I, 9, FALSE)</f>
        <v>0</v>
      </c>
      <c r="F80" s="2">
        <f>E80 + (E80*(B80/5)*0.1) + (C80*45)</f>
        <v>0</v>
      </c>
      <c r="G80" s="2">
        <f>VLOOKUP(D80, Benefits!A:C, 2, FALSE)</f>
        <v>0</v>
      </c>
      <c r="H80" s="3">
        <f>VLOOKUP(F80, Tax_Brackets!A:D, 4, TRUE)</f>
        <v>0</v>
      </c>
      <c r="I80" s="2">
        <f>F80 - G80 - (F80 * H80)</f>
        <v>0</v>
      </c>
    </row>
    <row r="81" spans="1:9">
      <c r="A81" t="s">
        <v>88</v>
      </c>
      <c r="B81">
        <v>4.6</v>
      </c>
      <c r="C81">
        <v>0</v>
      </c>
      <c r="D81">
        <f>VLOOKUP(A81, Employees!A:I, 7, FALSE)</f>
        <v>0</v>
      </c>
      <c r="E81" s="2">
        <f>VLOOKUP(A81, Employees!A:I, 9, FALSE)</f>
        <v>0</v>
      </c>
      <c r="F81" s="2">
        <f>E81 + (E81*(B81/5)*0.1) + (C81*45)</f>
        <v>0</v>
      </c>
      <c r="G81" s="2">
        <f>VLOOKUP(D81, Benefits!A:C, 2, FALSE)</f>
        <v>0</v>
      </c>
      <c r="H81" s="3">
        <f>VLOOKUP(F81, Tax_Brackets!A:D, 4, TRUE)</f>
        <v>0</v>
      </c>
      <c r="I81" s="2">
        <f>F81 - G81 - (F81 * H81)</f>
        <v>0</v>
      </c>
    </row>
    <row r="82" spans="1:9">
      <c r="A82" t="s">
        <v>89</v>
      </c>
      <c r="B82">
        <v>3.4</v>
      </c>
      <c r="C82">
        <v>0</v>
      </c>
      <c r="D82">
        <f>VLOOKUP(A82, Employees!A:I, 7, FALSE)</f>
        <v>0</v>
      </c>
      <c r="E82" s="2">
        <f>VLOOKUP(A82, Employees!A:I, 9, FALSE)</f>
        <v>0</v>
      </c>
      <c r="F82" s="2">
        <f>E82 + (E82*(B82/5)*0.1) + (C82*45)</f>
        <v>0</v>
      </c>
      <c r="G82" s="2">
        <f>VLOOKUP(D82, Benefits!A:C, 2, FALSE)</f>
        <v>0</v>
      </c>
      <c r="H82" s="3">
        <f>VLOOKUP(F82, Tax_Brackets!A:D, 4, TRUE)</f>
        <v>0</v>
      </c>
      <c r="I82" s="2">
        <f>F82 - G82 - (F82 * H82)</f>
        <v>0</v>
      </c>
    </row>
    <row r="83" spans="1:9">
      <c r="A83" t="s">
        <v>90</v>
      </c>
      <c r="B83">
        <v>3.4</v>
      </c>
      <c r="C83">
        <v>0</v>
      </c>
      <c r="D83">
        <f>VLOOKUP(A83, Employees!A:I, 7, FALSE)</f>
        <v>0</v>
      </c>
      <c r="E83" s="2">
        <f>VLOOKUP(A83, Employees!A:I, 9, FALSE)</f>
        <v>0</v>
      </c>
      <c r="F83" s="2">
        <f>E83 + (E83*(B83/5)*0.1) + (C83*45)</f>
        <v>0</v>
      </c>
      <c r="G83" s="2">
        <f>VLOOKUP(D83, Benefits!A:C, 2, FALSE)</f>
        <v>0</v>
      </c>
      <c r="H83" s="3">
        <f>VLOOKUP(F83, Tax_Brackets!A:D, 4, TRUE)</f>
        <v>0</v>
      </c>
      <c r="I83" s="2">
        <f>F83 - G83 - (F83 * H83)</f>
        <v>0</v>
      </c>
    </row>
    <row r="84" spans="1:9">
      <c r="A84" t="s">
        <v>91</v>
      </c>
      <c r="B84">
        <v>4.2</v>
      </c>
      <c r="C84">
        <v>0</v>
      </c>
      <c r="D84">
        <f>VLOOKUP(A84, Employees!A:I, 7, FALSE)</f>
        <v>0</v>
      </c>
      <c r="E84" s="2">
        <f>VLOOKUP(A84, Employees!A:I, 9, FALSE)</f>
        <v>0</v>
      </c>
      <c r="F84" s="2">
        <f>E84 + (E84*(B84/5)*0.1) + (C84*45)</f>
        <v>0</v>
      </c>
      <c r="G84" s="2">
        <f>VLOOKUP(D84, Benefits!A:C, 2, FALSE)</f>
        <v>0</v>
      </c>
      <c r="H84" s="3">
        <f>VLOOKUP(F84, Tax_Brackets!A:D, 4, TRUE)</f>
        <v>0</v>
      </c>
      <c r="I84" s="2">
        <f>F84 - G84 - (F84 * H84)</f>
        <v>0</v>
      </c>
    </row>
    <row r="85" spans="1:9">
      <c r="A85" t="s">
        <v>92</v>
      </c>
      <c r="B85">
        <v>2.2</v>
      </c>
      <c r="C85">
        <v>0</v>
      </c>
      <c r="D85">
        <f>VLOOKUP(A85, Employees!A:I, 7, FALSE)</f>
        <v>0</v>
      </c>
      <c r="E85" s="2">
        <f>VLOOKUP(A85, Employees!A:I, 9, FALSE)</f>
        <v>0</v>
      </c>
      <c r="F85" s="2">
        <f>E85 + (E85*(B85/5)*0.1) + (C85*45)</f>
        <v>0</v>
      </c>
      <c r="G85" s="2">
        <f>VLOOKUP(D85, Benefits!A:C, 2, FALSE)</f>
        <v>0</v>
      </c>
      <c r="H85" s="3">
        <f>VLOOKUP(F85, Tax_Brackets!A:D, 4, TRUE)</f>
        <v>0</v>
      </c>
      <c r="I85" s="2">
        <f>F85 - G85 - (F85 * H85)</f>
        <v>0</v>
      </c>
    </row>
    <row r="86" spans="1:9">
      <c r="A86" t="s">
        <v>93</v>
      </c>
      <c r="B86">
        <v>3.4</v>
      </c>
      <c r="C86">
        <v>0</v>
      </c>
      <c r="D86">
        <f>VLOOKUP(A86, Employees!A:I, 7, FALSE)</f>
        <v>0</v>
      </c>
      <c r="E86" s="2">
        <f>VLOOKUP(A86, Employees!A:I, 9, FALSE)</f>
        <v>0</v>
      </c>
      <c r="F86" s="2">
        <f>E86 + (E86*(B86/5)*0.1) + (C86*45)</f>
        <v>0</v>
      </c>
      <c r="G86" s="2">
        <f>VLOOKUP(D86, Benefits!A:C, 2, FALSE)</f>
        <v>0</v>
      </c>
      <c r="H86" s="3">
        <f>VLOOKUP(F86, Tax_Brackets!A:D, 4, TRUE)</f>
        <v>0</v>
      </c>
      <c r="I86" s="2">
        <f>F86 - G86 - (F86 * H86)</f>
        <v>0</v>
      </c>
    </row>
    <row r="87" spans="1:9">
      <c r="A87" t="s">
        <v>94</v>
      </c>
      <c r="B87">
        <v>2.5</v>
      </c>
      <c r="C87">
        <v>0</v>
      </c>
      <c r="D87">
        <f>VLOOKUP(A87, Employees!A:I, 7, FALSE)</f>
        <v>0</v>
      </c>
      <c r="E87" s="2">
        <f>VLOOKUP(A87, Employees!A:I, 9, FALSE)</f>
        <v>0</v>
      </c>
      <c r="F87" s="2">
        <f>E87 + (E87*(B87/5)*0.1) + (C87*45)</f>
        <v>0</v>
      </c>
      <c r="G87" s="2">
        <f>VLOOKUP(D87, Benefits!A:C, 2, FALSE)</f>
        <v>0</v>
      </c>
      <c r="H87" s="3">
        <f>VLOOKUP(F87, Tax_Brackets!A:D, 4, TRUE)</f>
        <v>0</v>
      </c>
      <c r="I87" s="2">
        <f>F87 - G87 - (F87 * H87)</f>
        <v>0</v>
      </c>
    </row>
    <row r="88" spans="1:9">
      <c r="A88" t="s">
        <v>95</v>
      </c>
      <c r="B88">
        <v>3.8</v>
      </c>
      <c r="C88">
        <v>3</v>
      </c>
      <c r="D88">
        <f>VLOOKUP(A88, Employees!A:I, 7, FALSE)</f>
        <v>0</v>
      </c>
      <c r="E88" s="2">
        <f>VLOOKUP(A88, Employees!A:I, 9, FALSE)</f>
        <v>0</v>
      </c>
      <c r="F88" s="2">
        <f>E88 + (E88*(B88/5)*0.1) + (C88*45)</f>
        <v>0</v>
      </c>
      <c r="G88" s="2">
        <f>VLOOKUP(D88, Benefits!A:C, 2, FALSE)</f>
        <v>0</v>
      </c>
      <c r="H88" s="3">
        <f>VLOOKUP(F88, Tax_Brackets!A:D, 4, TRUE)</f>
        <v>0</v>
      </c>
      <c r="I88" s="2">
        <f>F88 - G88 - (F88 * H88)</f>
        <v>0</v>
      </c>
    </row>
    <row r="89" spans="1:9">
      <c r="A89" t="s">
        <v>96</v>
      </c>
      <c r="B89">
        <v>3.8</v>
      </c>
      <c r="C89">
        <v>0</v>
      </c>
      <c r="D89">
        <f>VLOOKUP(A89, Employees!A:I, 7, FALSE)</f>
        <v>0</v>
      </c>
      <c r="E89" s="2">
        <f>VLOOKUP(A89, Employees!A:I, 9, FALSE)</f>
        <v>0</v>
      </c>
      <c r="F89" s="2">
        <f>E89 + (E89*(B89/5)*0.1) + (C89*45)</f>
        <v>0</v>
      </c>
      <c r="G89" s="2">
        <f>VLOOKUP(D89, Benefits!A:C, 2, FALSE)</f>
        <v>0</v>
      </c>
      <c r="H89" s="3">
        <f>VLOOKUP(F89, Tax_Brackets!A:D, 4, TRUE)</f>
        <v>0</v>
      </c>
      <c r="I89" s="2">
        <f>F89 - G89 - (F89 * H89)</f>
        <v>0</v>
      </c>
    </row>
    <row r="90" spans="1:9">
      <c r="A90" t="s">
        <v>97</v>
      </c>
      <c r="B90">
        <v>4.4</v>
      </c>
      <c r="C90">
        <v>10</v>
      </c>
      <c r="D90">
        <f>VLOOKUP(A90, Employees!A:I, 7, FALSE)</f>
        <v>0</v>
      </c>
      <c r="E90" s="2">
        <f>VLOOKUP(A90, Employees!A:I, 9, FALSE)</f>
        <v>0</v>
      </c>
      <c r="F90" s="2">
        <f>E90 + (E90*(B90/5)*0.1) + (C90*45)</f>
        <v>0</v>
      </c>
      <c r="G90" s="2">
        <f>VLOOKUP(D90, Benefits!A:C, 2, FALSE)</f>
        <v>0</v>
      </c>
      <c r="H90" s="3">
        <f>VLOOKUP(F90, Tax_Brackets!A:D, 4, TRUE)</f>
        <v>0</v>
      </c>
      <c r="I90" s="2">
        <f>F90 - G90 - (F90 * H90)</f>
        <v>0</v>
      </c>
    </row>
    <row r="91" spans="1:9">
      <c r="A91" t="s">
        <v>98</v>
      </c>
      <c r="B91">
        <v>4.4</v>
      </c>
      <c r="C91">
        <v>0</v>
      </c>
      <c r="D91">
        <f>VLOOKUP(A91, Employees!A:I, 7, FALSE)</f>
        <v>0</v>
      </c>
      <c r="E91" s="2">
        <f>VLOOKUP(A91, Employees!A:I, 9, FALSE)</f>
        <v>0</v>
      </c>
      <c r="F91" s="2">
        <f>E91 + (E91*(B91/5)*0.1) + (C91*45)</f>
        <v>0</v>
      </c>
      <c r="G91" s="2">
        <f>VLOOKUP(D91, Benefits!A:C, 2, FALSE)</f>
        <v>0</v>
      </c>
      <c r="H91" s="3">
        <f>VLOOKUP(F91, Tax_Brackets!A:D, 4, TRUE)</f>
        <v>0</v>
      </c>
      <c r="I91" s="2">
        <f>F91 - G91 - (F91 * H91)</f>
        <v>0</v>
      </c>
    </row>
    <row r="92" spans="1:9">
      <c r="A92" t="s">
        <v>99</v>
      </c>
      <c r="B92">
        <v>2.8</v>
      </c>
      <c r="C92">
        <v>0</v>
      </c>
      <c r="D92">
        <f>VLOOKUP(A92, Employees!A:I, 7, FALSE)</f>
        <v>0</v>
      </c>
      <c r="E92" s="2">
        <f>VLOOKUP(A92, Employees!A:I, 9, FALSE)</f>
        <v>0</v>
      </c>
      <c r="F92" s="2">
        <f>E92 + (E92*(B92/5)*0.1) + (C92*45)</f>
        <v>0</v>
      </c>
      <c r="G92" s="2">
        <f>VLOOKUP(D92, Benefits!A:C, 2, FALSE)</f>
        <v>0</v>
      </c>
      <c r="H92" s="3">
        <f>VLOOKUP(F92, Tax_Brackets!A:D, 4, TRUE)</f>
        <v>0</v>
      </c>
      <c r="I92" s="2">
        <f>F92 - G92 - (F92 * H92)</f>
        <v>0</v>
      </c>
    </row>
    <row r="93" spans="1:9">
      <c r="A93" t="s">
        <v>100</v>
      </c>
      <c r="B93">
        <v>3.6</v>
      </c>
      <c r="C93">
        <v>0</v>
      </c>
      <c r="D93">
        <f>VLOOKUP(A93, Employees!A:I, 7, FALSE)</f>
        <v>0</v>
      </c>
      <c r="E93" s="2">
        <f>VLOOKUP(A93, Employees!A:I, 9, FALSE)</f>
        <v>0</v>
      </c>
      <c r="F93" s="2">
        <f>E93 + (E93*(B93/5)*0.1) + (C93*45)</f>
        <v>0</v>
      </c>
      <c r="G93" s="2">
        <f>VLOOKUP(D93, Benefits!A:C, 2, FALSE)</f>
        <v>0</v>
      </c>
      <c r="H93" s="3">
        <f>VLOOKUP(F93, Tax_Brackets!A:D, 4, TRUE)</f>
        <v>0</v>
      </c>
      <c r="I93" s="2">
        <f>F93 - G93 - (F93 * H93)</f>
        <v>0</v>
      </c>
    </row>
    <row r="94" spans="1:9">
      <c r="A94" t="s">
        <v>101</v>
      </c>
      <c r="B94">
        <v>2.8</v>
      </c>
      <c r="C94">
        <v>0</v>
      </c>
      <c r="D94">
        <f>VLOOKUP(A94, Employees!A:I, 7, FALSE)</f>
        <v>0</v>
      </c>
      <c r="E94" s="2">
        <f>VLOOKUP(A94, Employees!A:I, 9, FALSE)</f>
        <v>0</v>
      </c>
      <c r="F94" s="2">
        <f>E94 + (E94*(B94/5)*0.1) + (C94*45)</f>
        <v>0</v>
      </c>
      <c r="G94" s="2">
        <f>VLOOKUP(D94, Benefits!A:C, 2, FALSE)</f>
        <v>0</v>
      </c>
      <c r="H94" s="3">
        <f>VLOOKUP(F94, Tax_Brackets!A:D, 4, TRUE)</f>
        <v>0</v>
      </c>
      <c r="I94" s="2">
        <f>F94 - G94 - (F94 * H94)</f>
        <v>0</v>
      </c>
    </row>
    <row r="95" spans="1:9">
      <c r="A95" t="s">
        <v>102</v>
      </c>
      <c r="B95">
        <v>3.5</v>
      </c>
      <c r="C95">
        <v>0</v>
      </c>
      <c r="D95">
        <f>VLOOKUP(A95, Employees!A:I, 7, FALSE)</f>
        <v>0</v>
      </c>
      <c r="E95" s="2">
        <f>VLOOKUP(A95, Employees!A:I, 9, FALSE)</f>
        <v>0</v>
      </c>
      <c r="F95" s="2">
        <f>E95 + (E95*(B95/5)*0.1) + (C95*45)</f>
        <v>0</v>
      </c>
      <c r="G95" s="2">
        <f>VLOOKUP(D95, Benefits!A:C, 2, FALSE)</f>
        <v>0</v>
      </c>
      <c r="H95" s="3">
        <f>VLOOKUP(F95, Tax_Brackets!A:D, 4, TRUE)</f>
        <v>0</v>
      </c>
      <c r="I95" s="2">
        <f>F95 - G95 - (F95 * H95)</f>
        <v>0</v>
      </c>
    </row>
    <row r="96" spans="1:9">
      <c r="A96" t="s">
        <v>103</v>
      </c>
      <c r="B96">
        <v>3.7</v>
      </c>
      <c r="C96">
        <v>7</v>
      </c>
      <c r="D96">
        <f>VLOOKUP(A96, Employees!A:I, 7, FALSE)</f>
        <v>0</v>
      </c>
      <c r="E96" s="2">
        <f>VLOOKUP(A96, Employees!A:I, 9, FALSE)</f>
        <v>0</v>
      </c>
      <c r="F96" s="2">
        <f>E96 + (E96*(B96/5)*0.1) + (C96*45)</f>
        <v>0</v>
      </c>
      <c r="G96" s="2">
        <f>VLOOKUP(D96, Benefits!A:C, 2, FALSE)</f>
        <v>0</v>
      </c>
      <c r="H96" s="3">
        <f>VLOOKUP(F96, Tax_Brackets!A:D, 4, TRUE)</f>
        <v>0</v>
      </c>
      <c r="I96" s="2">
        <f>F96 - G96 - (F96 * H96)</f>
        <v>0</v>
      </c>
    </row>
    <row r="97" spans="1:9">
      <c r="A97" t="s">
        <v>104</v>
      </c>
      <c r="B97">
        <v>3.2</v>
      </c>
      <c r="C97">
        <v>4</v>
      </c>
      <c r="D97">
        <f>VLOOKUP(A97, Employees!A:I, 7, FALSE)</f>
        <v>0</v>
      </c>
      <c r="E97" s="2">
        <f>VLOOKUP(A97, Employees!A:I, 9, FALSE)</f>
        <v>0</v>
      </c>
      <c r="F97" s="2">
        <f>E97 + (E97*(B97/5)*0.1) + (C97*45)</f>
        <v>0</v>
      </c>
      <c r="G97" s="2">
        <f>VLOOKUP(D97, Benefits!A:C, 2, FALSE)</f>
        <v>0</v>
      </c>
      <c r="H97" s="3">
        <f>VLOOKUP(F97, Tax_Brackets!A:D, 4, TRUE)</f>
        <v>0</v>
      </c>
      <c r="I97" s="2">
        <f>F97 - G97 - (F97 * H97)</f>
        <v>0</v>
      </c>
    </row>
    <row r="98" spans="1:9">
      <c r="A98" t="s">
        <v>105</v>
      </c>
      <c r="B98">
        <v>2.6</v>
      </c>
      <c r="C98">
        <v>6</v>
      </c>
      <c r="D98">
        <f>VLOOKUP(A98, Employees!A:I, 7, FALSE)</f>
        <v>0</v>
      </c>
      <c r="E98" s="2">
        <f>VLOOKUP(A98, Employees!A:I, 9, FALSE)</f>
        <v>0</v>
      </c>
      <c r="F98" s="2">
        <f>E98 + (E98*(B98/5)*0.1) + (C98*45)</f>
        <v>0</v>
      </c>
      <c r="G98" s="2">
        <f>VLOOKUP(D98, Benefits!A:C, 2, FALSE)</f>
        <v>0</v>
      </c>
      <c r="H98" s="3">
        <f>VLOOKUP(F98, Tax_Brackets!A:D, 4, TRUE)</f>
        <v>0</v>
      </c>
      <c r="I98" s="2">
        <f>F98 - G98 - (F98 * H98)</f>
        <v>0</v>
      </c>
    </row>
    <row r="99" spans="1:9">
      <c r="A99" t="s">
        <v>106</v>
      </c>
      <c r="B99">
        <v>2.1</v>
      </c>
      <c r="C99">
        <v>0</v>
      </c>
      <c r="D99">
        <f>VLOOKUP(A99, Employees!A:I, 7, FALSE)</f>
        <v>0</v>
      </c>
      <c r="E99" s="2">
        <f>VLOOKUP(A99, Employees!A:I, 9, FALSE)</f>
        <v>0</v>
      </c>
      <c r="F99" s="2">
        <f>E99 + (E99*(B99/5)*0.1) + (C99*45)</f>
        <v>0</v>
      </c>
      <c r="G99" s="2">
        <f>VLOOKUP(D99, Benefits!A:C, 2, FALSE)</f>
        <v>0</v>
      </c>
      <c r="H99" s="3">
        <f>VLOOKUP(F99, Tax_Brackets!A:D, 4, TRUE)</f>
        <v>0</v>
      </c>
      <c r="I99" s="2">
        <f>F99 - G99 - (F99 * H99)</f>
        <v>0</v>
      </c>
    </row>
    <row r="100" spans="1:9">
      <c r="A100" t="s">
        <v>107</v>
      </c>
      <c r="B100">
        <v>2.6</v>
      </c>
      <c r="C100">
        <v>0</v>
      </c>
      <c r="D100">
        <f>VLOOKUP(A100, Employees!A:I, 7, FALSE)</f>
        <v>0</v>
      </c>
      <c r="E100" s="2">
        <f>VLOOKUP(A100, Employees!A:I, 9, FALSE)</f>
        <v>0</v>
      </c>
      <c r="F100" s="2">
        <f>E100 + (E100*(B100/5)*0.1) + (C100*45)</f>
        <v>0</v>
      </c>
      <c r="G100" s="2">
        <f>VLOOKUP(D100, Benefits!A:C, 2, FALSE)</f>
        <v>0</v>
      </c>
      <c r="H100" s="3">
        <f>VLOOKUP(F100, Tax_Brackets!A:D, 4, TRUE)</f>
        <v>0</v>
      </c>
      <c r="I100" s="2">
        <f>F100 - G100 - (F100 * H100)</f>
        <v>0</v>
      </c>
    </row>
    <row r="101" spans="1:9">
      <c r="A101" t="s">
        <v>108</v>
      </c>
      <c r="B101">
        <v>4.3</v>
      </c>
      <c r="C101">
        <v>0</v>
      </c>
      <c r="D101">
        <f>VLOOKUP(A101, Employees!A:I, 7, FALSE)</f>
        <v>0</v>
      </c>
      <c r="E101" s="2">
        <f>VLOOKUP(A101, Employees!A:I, 9, FALSE)</f>
        <v>0</v>
      </c>
      <c r="F101" s="2">
        <f>E101 + (E101*(B101/5)*0.1) + (C101*45)</f>
        <v>0</v>
      </c>
      <c r="G101" s="2">
        <f>VLOOKUP(D101, Benefits!A:C, 2, FALSE)</f>
        <v>0</v>
      </c>
      <c r="H101" s="3">
        <f>VLOOKUP(F101, Tax_Brackets!A:D, 4, TRUE)</f>
        <v>0</v>
      </c>
      <c r="I101" s="2">
        <f>F101 - G101 - (F101 * H101)</f>
        <v>0</v>
      </c>
    </row>
    <row r="102" spans="1:9">
      <c r="A102" t="s">
        <v>109</v>
      </c>
      <c r="B102">
        <v>2.6</v>
      </c>
      <c r="C102">
        <v>10</v>
      </c>
      <c r="D102">
        <f>VLOOKUP(A102, Employees!A:I, 7, FALSE)</f>
        <v>0</v>
      </c>
      <c r="E102" s="2">
        <f>VLOOKUP(A102, Employees!A:I, 9, FALSE)</f>
        <v>0</v>
      </c>
      <c r="F102" s="2">
        <f>E102 + (E102*(B102/5)*0.1) + (C102*45)</f>
        <v>0</v>
      </c>
      <c r="G102" s="2">
        <f>VLOOKUP(D102, Benefits!A:C, 2, FALSE)</f>
        <v>0</v>
      </c>
      <c r="H102" s="3">
        <f>VLOOKUP(F102, Tax_Brackets!A:D, 4, TRUE)</f>
        <v>0</v>
      </c>
      <c r="I102" s="2">
        <f>F102 - G102 - (F102 * H102)</f>
        <v>0</v>
      </c>
    </row>
    <row r="103" spans="1:9">
      <c r="A103" t="s">
        <v>110</v>
      </c>
      <c r="B103">
        <v>5</v>
      </c>
      <c r="C103">
        <v>0</v>
      </c>
      <c r="D103">
        <f>VLOOKUP(A103, Employees!A:I, 7, FALSE)</f>
        <v>0</v>
      </c>
      <c r="E103" s="2">
        <f>VLOOKUP(A103, Employees!A:I, 9, FALSE)</f>
        <v>0</v>
      </c>
      <c r="F103" s="2">
        <f>E103 + (E103*(B103/5)*0.1) + (C103*45)</f>
        <v>0</v>
      </c>
      <c r="G103" s="2">
        <f>VLOOKUP(D103, Benefits!A:C, 2, FALSE)</f>
        <v>0</v>
      </c>
      <c r="H103" s="3">
        <f>VLOOKUP(F103, Tax_Brackets!A:D, 4, TRUE)</f>
        <v>0</v>
      </c>
      <c r="I103" s="2">
        <f>F103 - G103 - (F103 * H103)</f>
        <v>0</v>
      </c>
    </row>
    <row r="104" spans="1:9">
      <c r="A104" t="s">
        <v>111</v>
      </c>
      <c r="B104">
        <v>2.7</v>
      </c>
      <c r="C104">
        <v>0</v>
      </c>
      <c r="D104">
        <f>VLOOKUP(A104, Employees!A:I, 7, FALSE)</f>
        <v>0</v>
      </c>
      <c r="E104" s="2">
        <f>VLOOKUP(A104, Employees!A:I, 9, FALSE)</f>
        <v>0</v>
      </c>
      <c r="F104" s="2">
        <f>E104 + (E104*(B104/5)*0.1) + (C104*45)</f>
        <v>0</v>
      </c>
      <c r="G104" s="2">
        <f>VLOOKUP(D104, Benefits!A:C, 2, FALSE)</f>
        <v>0</v>
      </c>
      <c r="H104" s="3">
        <f>VLOOKUP(F104, Tax_Brackets!A:D, 4, TRUE)</f>
        <v>0</v>
      </c>
      <c r="I104" s="2">
        <f>F104 - G104 - (F104 * H104)</f>
        <v>0</v>
      </c>
    </row>
    <row r="105" spans="1:9">
      <c r="A105" t="s">
        <v>112</v>
      </c>
      <c r="B105">
        <v>3.3</v>
      </c>
      <c r="C105">
        <v>0</v>
      </c>
      <c r="D105">
        <f>VLOOKUP(A105, Employees!A:I, 7, FALSE)</f>
        <v>0</v>
      </c>
      <c r="E105" s="2">
        <f>VLOOKUP(A105, Employees!A:I, 9, FALSE)</f>
        <v>0</v>
      </c>
      <c r="F105" s="2">
        <f>E105 + (E105*(B105/5)*0.1) + (C105*45)</f>
        <v>0</v>
      </c>
      <c r="G105" s="2">
        <f>VLOOKUP(D105, Benefits!A:C, 2, FALSE)</f>
        <v>0</v>
      </c>
      <c r="H105" s="3">
        <f>VLOOKUP(F105, Tax_Brackets!A:D, 4, TRUE)</f>
        <v>0</v>
      </c>
      <c r="I105" s="2">
        <f>F105 - G105 - (F105 * H105)</f>
        <v>0</v>
      </c>
    </row>
    <row r="106" spans="1:9">
      <c r="A106" t="s">
        <v>113</v>
      </c>
      <c r="B106">
        <v>3.4</v>
      </c>
      <c r="C106">
        <v>10</v>
      </c>
      <c r="D106">
        <f>VLOOKUP(A106, Employees!A:I, 7, FALSE)</f>
        <v>0</v>
      </c>
      <c r="E106" s="2">
        <f>VLOOKUP(A106, Employees!A:I, 9, FALSE)</f>
        <v>0</v>
      </c>
      <c r="F106" s="2">
        <f>E106 + (E106*(B106/5)*0.1) + (C106*45)</f>
        <v>0</v>
      </c>
      <c r="G106" s="2">
        <f>VLOOKUP(D106, Benefits!A:C, 2, FALSE)</f>
        <v>0</v>
      </c>
      <c r="H106" s="3">
        <f>VLOOKUP(F106, Tax_Brackets!A:D, 4, TRUE)</f>
        <v>0</v>
      </c>
      <c r="I106" s="2">
        <f>F106 - G106 - (F106 * H106)</f>
        <v>0</v>
      </c>
    </row>
    <row r="107" spans="1:9">
      <c r="A107" t="s">
        <v>114</v>
      </c>
      <c r="B107">
        <v>3.9</v>
      </c>
      <c r="C107">
        <v>0</v>
      </c>
      <c r="D107">
        <f>VLOOKUP(A107, Employees!A:I, 7, FALSE)</f>
        <v>0</v>
      </c>
      <c r="E107" s="2">
        <f>VLOOKUP(A107, Employees!A:I, 9, FALSE)</f>
        <v>0</v>
      </c>
      <c r="F107" s="2">
        <f>E107 + (E107*(B107/5)*0.1) + (C107*45)</f>
        <v>0</v>
      </c>
      <c r="G107" s="2">
        <f>VLOOKUP(D107, Benefits!A:C, 2, FALSE)</f>
        <v>0</v>
      </c>
      <c r="H107" s="3">
        <f>VLOOKUP(F107, Tax_Brackets!A:D, 4, TRUE)</f>
        <v>0</v>
      </c>
      <c r="I107" s="2">
        <f>F107 - G107 - (F107 * H107)</f>
        <v>0</v>
      </c>
    </row>
    <row r="108" spans="1:9">
      <c r="A108" t="s">
        <v>115</v>
      </c>
      <c r="B108">
        <v>4.2</v>
      </c>
      <c r="C108">
        <v>0</v>
      </c>
      <c r="D108">
        <f>VLOOKUP(A108, Employees!A:I, 7, FALSE)</f>
        <v>0</v>
      </c>
      <c r="E108" s="2">
        <f>VLOOKUP(A108, Employees!A:I, 9, FALSE)</f>
        <v>0</v>
      </c>
      <c r="F108" s="2">
        <f>E108 + (E108*(B108/5)*0.1) + (C108*45)</f>
        <v>0</v>
      </c>
      <c r="G108" s="2">
        <f>VLOOKUP(D108, Benefits!A:C, 2, FALSE)</f>
        <v>0</v>
      </c>
      <c r="H108" s="3">
        <f>VLOOKUP(F108, Tax_Brackets!A:D, 4, TRUE)</f>
        <v>0</v>
      </c>
      <c r="I108" s="2">
        <f>F108 - G108 - (F108 * H108)</f>
        <v>0</v>
      </c>
    </row>
    <row r="109" spans="1:9">
      <c r="A109" t="s">
        <v>116</v>
      </c>
      <c r="B109">
        <v>3.1</v>
      </c>
      <c r="C109">
        <v>0</v>
      </c>
      <c r="D109">
        <f>VLOOKUP(A109, Employees!A:I, 7, FALSE)</f>
        <v>0</v>
      </c>
      <c r="E109" s="2">
        <f>VLOOKUP(A109, Employees!A:I, 9, FALSE)</f>
        <v>0</v>
      </c>
      <c r="F109" s="2">
        <f>E109 + (E109*(B109/5)*0.1) + (C109*45)</f>
        <v>0</v>
      </c>
      <c r="G109" s="2">
        <f>VLOOKUP(D109, Benefits!A:C, 2, FALSE)</f>
        <v>0</v>
      </c>
      <c r="H109" s="3">
        <f>VLOOKUP(F109, Tax_Brackets!A:D, 4, TRUE)</f>
        <v>0</v>
      </c>
      <c r="I109" s="2">
        <f>F109 - G109 - (F109 * H109)</f>
        <v>0</v>
      </c>
    </row>
    <row r="110" spans="1:9">
      <c r="A110" t="s">
        <v>117</v>
      </c>
      <c r="B110">
        <v>4.9</v>
      </c>
      <c r="C110">
        <v>0</v>
      </c>
      <c r="D110">
        <f>VLOOKUP(A110, Employees!A:I, 7, FALSE)</f>
        <v>0</v>
      </c>
      <c r="E110" s="2">
        <f>VLOOKUP(A110, Employees!A:I, 9, FALSE)</f>
        <v>0</v>
      </c>
      <c r="F110" s="2">
        <f>E110 + (E110*(B110/5)*0.1) + (C110*45)</f>
        <v>0</v>
      </c>
      <c r="G110" s="2">
        <f>VLOOKUP(D110, Benefits!A:C, 2, FALSE)</f>
        <v>0</v>
      </c>
      <c r="H110" s="3">
        <f>VLOOKUP(F110, Tax_Brackets!A:D, 4, TRUE)</f>
        <v>0</v>
      </c>
      <c r="I110" s="2">
        <f>F110 - G110 - (F110 * H110)</f>
        <v>0</v>
      </c>
    </row>
    <row r="111" spans="1:9">
      <c r="A111" t="s">
        <v>118</v>
      </c>
      <c r="B111">
        <v>4.3</v>
      </c>
      <c r="C111">
        <v>0</v>
      </c>
      <c r="D111">
        <f>VLOOKUP(A111, Employees!A:I, 7, FALSE)</f>
        <v>0</v>
      </c>
      <c r="E111" s="2">
        <f>VLOOKUP(A111, Employees!A:I, 9, FALSE)</f>
        <v>0</v>
      </c>
      <c r="F111" s="2">
        <f>E111 + (E111*(B111/5)*0.1) + (C111*45)</f>
        <v>0</v>
      </c>
      <c r="G111" s="2">
        <f>VLOOKUP(D111, Benefits!A:C, 2, FALSE)</f>
        <v>0</v>
      </c>
      <c r="H111" s="3">
        <f>VLOOKUP(F111, Tax_Brackets!A:D, 4, TRUE)</f>
        <v>0</v>
      </c>
      <c r="I111" s="2">
        <f>F111 - G111 - (F111 * H111)</f>
        <v>0</v>
      </c>
    </row>
    <row r="112" spans="1:9">
      <c r="A112" t="s">
        <v>119</v>
      </c>
      <c r="B112">
        <v>3.3</v>
      </c>
      <c r="C112">
        <v>0</v>
      </c>
      <c r="D112">
        <f>VLOOKUP(A112, Employees!A:I, 7, FALSE)</f>
        <v>0</v>
      </c>
      <c r="E112" s="2">
        <f>VLOOKUP(A112, Employees!A:I, 9, FALSE)</f>
        <v>0</v>
      </c>
      <c r="F112" s="2">
        <f>E112 + (E112*(B112/5)*0.1) + (C112*45)</f>
        <v>0</v>
      </c>
      <c r="G112" s="2">
        <f>VLOOKUP(D112, Benefits!A:C, 2, FALSE)</f>
        <v>0</v>
      </c>
      <c r="H112" s="3">
        <f>VLOOKUP(F112, Tax_Brackets!A:D, 4, TRUE)</f>
        <v>0</v>
      </c>
      <c r="I112" s="2">
        <f>F112 - G112 - (F112 * H112)</f>
        <v>0</v>
      </c>
    </row>
    <row r="113" spans="1:9">
      <c r="A113" t="s">
        <v>120</v>
      </c>
      <c r="B113">
        <v>2.9</v>
      </c>
      <c r="C113">
        <v>0</v>
      </c>
      <c r="D113">
        <f>VLOOKUP(A113, Employees!A:I, 7, FALSE)</f>
        <v>0</v>
      </c>
      <c r="E113" s="2">
        <f>VLOOKUP(A113, Employees!A:I, 9, FALSE)</f>
        <v>0</v>
      </c>
      <c r="F113" s="2">
        <f>E113 + (E113*(B113/5)*0.1) + (C113*45)</f>
        <v>0</v>
      </c>
      <c r="G113" s="2">
        <f>VLOOKUP(D113, Benefits!A:C, 2, FALSE)</f>
        <v>0</v>
      </c>
      <c r="H113" s="3">
        <f>VLOOKUP(F113, Tax_Brackets!A:D, 4, TRUE)</f>
        <v>0</v>
      </c>
      <c r="I113" s="2">
        <f>F113 - G113 - (F113 * H113)</f>
        <v>0</v>
      </c>
    </row>
    <row r="114" spans="1:9">
      <c r="A114" t="s">
        <v>121</v>
      </c>
      <c r="B114">
        <v>3.8</v>
      </c>
      <c r="C114">
        <v>0</v>
      </c>
      <c r="D114">
        <f>VLOOKUP(A114, Employees!A:I, 7, FALSE)</f>
        <v>0</v>
      </c>
      <c r="E114" s="2">
        <f>VLOOKUP(A114, Employees!A:I, 9, FALSE)</f>
        <v>0</v>
      </c>
      <c r="F114" s="2">
        <f>E114 + (E114*(B114/5)*0.1) + (C114*45)</f>
        <v>0</v>
      </c>
      <c r="G114" s="2">
        <f>VLOOKUP(D114, Benefits!A:C, 2, FALSE)</f>
        <v>0</v>
      </c>
      <c r="H114" s="3">
        <f>VLOOKUP(F114, Tax_Brackets!A:D, 4, TRUE)</f>
        <v>0</v>
      </c>
      <c r="I114" s="2">
        <f>F114 - G114 - (F114 * H114)</f>
        <v>0</v>
      </c>
    </row>
    <row r="115" spans="1:9">
      <c r="A115" t="s">
        <v>122</v>
      </c>
      <c r="B115">
        <v>3.9</v>
      </c>
      <c r="C115">
        <v>11</v>
      </c>
      <c r="D115">
        <f>VLOOKUP(A115, Employees!A:I, 7, FALSE)</f>
        <v>0</v>
      </c>
      <c r="E115" s="2">
        <f>VLOOKUP(A115, Employees!A:I, 9, FALSE)</f>
        <v>0</v>
      </c>
      <c r="F115" s="2">
        <f>E115 + (E115*(B115/5)*0.1) + (C115*45)</f>
        <v>0</v>
      </c>
      <c r="G115" s="2">
        <f>VLOOKUP(D115, Benefits!A:C, 2, FALSE)</f>
        <v>0</v>
      </c>
      <c r="H115" s="3">
        <f>VLOOKUP(F115, Tax_Brackets!A:D, 4, TRUE)</f>
        <v>0</v>
      </c>
      <c r="I115" s="2">
        <f>F115 - G115 - (F115 * H115)</f>
        <v>0</v>
      </c>
    </row>
    <row r="116" spans="1:9">
      <c r="A116" t="s">
        <v>123</v>
      </c>
      <c r="B116">
        <v>3.2</v>
      </c>
      <c r="C116">
        <v>6</v>
      </c>
      <c r="D116">
        <f>VLOOKUP(A116, Employees!A:I, 7, FALSE)</f>
        <v>0</v>
      </c>
      <c r="E116" s="2">
        <f>VLOOKUP(A116, Employees!A:I, 9, FALSE)</f>
        <v>0</v>
      </c>
      <c r="F116" s="2">
        <f>E116 + (E116*(B116/5)*0.1) + (C116*45)</f>
        <v>0</v>
      </c>
      <c r="G116" s="2">
        <f>VLOOKUP(D116, Benefits!A:C, 2, FALSE)</f>
        <v>0</v>
      </c>
      <c r="H116" s="3">
        <f>VLOOKUP(F116, Tax_Brackets!A:D, 4, TRUE)</f>
        <v>0</v>
      </c>
      <c r="I116" s="2">
        <f>F116 - G116 - (F116 * H116)</f>
        <v>0</v>
      </c>
    </row>
    <row r="117" spans="1:9">
      <c r="A117" t="s">
        <v>124</v>
      </c>
      <c r="B117">
        <v>3.8</v>
      </c>
      <c r="C117">
        <v>4</v>
      </c>
      <c r="D117">
        <f>VLOOKUP(A117, Employees!A:I, 7, FALSE)</f>
        <v>0</v>
      </c>
      <c r="E117" s="2">
        <f>VLOOKUP(A117, Employees!A:I, 9, FALSE)</f>
        <v>0</v>
      </c>
      <c r="F117" s="2">
        <f>E117 + (E117*(B117/5)*0.1) + (C117*45)</f>
        <v>0</v>
      </c>
      <c r="G117" s="2">
        <f>VLOOKUP(D117, Benefits!A:C, 2, FALSE)</f>
        <v>0</v>
      </c>
      <c r="H117" s="3">
        <f>VLOOKUP(F117, Tax_Brackets!A:D, 4, TRUE)</f>
        <v>0</v>
      </c>
      <c r="I117" s="2">
        <f>F117 - G117 - (F117 * H117)</f>
        <v>0</v>
      </c>
    </row>
    <row r="118" spans="1:9">
      <c r="A118" t="s">
        <v>125</v>
      </c>
      <c r="B118">
        <v>2.6</v>
      </c>
      <c r="C118">
        <v>0</v>
      </c>
      <c r="D118">
        <f>VLOOKUP(A118, Employees!A:I, 7, FALSE)</f>
        <v>0</v>
      </c>
      <c r="E118" s="2">
        <f>VLOOKUP(A118, Employees!A:I, 9, FALSE)</f>
        <v>0</v>
      </c>
      <c r="F118" s="2">
        <f>E118 + (E118*(B118/5)*0.1) + (C118*45)</f>
        <v>0</v>
      </c>
      <c r="G118" s="2">
        <f>VLOOKUP(D118, Benefits!A:C, 2, FALSE)</f>
        <v>0</v>
      </c>
      <c r="H118" s="3">
        <f>VLOOKUP(F118, Tax_Brackets!A:D, 4, TRUE)</f>
        <v>0</v>
      </c>
      <c r="I118" s="2">
        <f>F118 - G118 - (F118 * H118)</f>
        <v>0</v>
      </c>
    </row>
    <row r="119" spans="1:9">
      <c r="A119" t="s">
        <v>126</v>
      </c>
      <c r="B119">
        <v>3.1</v>
      </c>
      <c r="C119">
        <v>5</v>
      </c>
      <c r="D119">
        <f>VLOOKUP(A119, Employees!A:I, 7, FALSE)</f>
        <v>0</v>
      </c>
      <c r="E119" s="2">
        <f>VLOOKUP(A119, Employees!A:I, 9, FALSE)</f>
        <v>0</v>
      </c>
      <c r="F119" s="2">
        <f>E119 + (E119*(B119/5)*0.1) + (C119*45)</f>
        <v>0</v>
      </c>
      <c r="G119" s="2">
        <f>VLOOKUP(D119, Benefits!A:C, 2, FALSE)</f>
        <v>0</v>
      </c>
      <c r="H119" s="3">
        <f>VLOOKUP(F119, Tax_Brackets!A:D, 4, TRUE)</f>
        <v>0</v>
      </c>
      <c r="I119" s="2">
        <f>F119 - G119 - (F119 * H119)</f>
        <v>0</v>
      </c>
    </row>
    <row r="120" spans="1:9">
      <c r="A120" t="s">
        <v>127</v>
      </c>
      <c r="B120">
        <v>3.4</v>
      </c>
      <c r="C120">
        <v>0</v>
      </c>
      <c r="D120">
        <f>VLOOKUP(A120, Employees!A:I, 7, FALSE)</f>
        <v>0</v>
      </c>
      <c r="E120" s="2">
        <f>VLOOKUP(A120, Employees!A:I, 9, FALSE)</f>
        <v>0</v>
      </c>
      <c r="F120" s="2">
        <f>E120 + (E120*(B120/5)*0.1) + (C120*45)</f>
        <v>0</v>
      </c>
      <c r="G120" s="2">
        <f>VLOOKUP(D120, Benefits!A:C, 2, FALSE)</f>
        <v>0</v>
      </c>
      <c r="H120" s="3">
        <f>VLOOKUP(F120, Tax_Brackets!A:D, 4, TRUE)</f>
        <v>0</v>
      </c>
      <c r="I120" s="2">
        <f>F120 - G120 - (F120 * H120)</f>
        <v>0</v>
      </c>
    </row>
    <row r="121" spans="1:9">
      <c r="A121" t="s">
        <v>128</v>
      </c>
      <c r="B121">
        <v>2.6</v>
      </c>
      <c r="C121">
        <v>0</v>
      </c>
      <c r="D121">
        <f>VLOOKUP(A121, Employees!A:I, 7, FALSE)</f>
        <v>0</v>
      </c>
      <c r="E121" s="2">
        <f>VLOOKUP(A121, Employees!A:I, 9, FALSE)</f>
        <v>0</v>
      </c>
      <c r="F121" s="2">
        <f>E121 + (E121*(B121/5)*0.1) + (C121*45)</f>
        <v>0</v>
      </c>
      <c r="G121" s="2">
        <f>VLOOKUP(D121, Benefits!A:C, 2, FALSE)</f>
        <v>0</v>
      </c>
      <c r="H121" s="3">
        <f>VLOOKUP(F121, Tax_Brackets!A:D, 4, TRUE)</f>
        <v>0</v>
      </c>
      <c r="I121" s="2">
        <f>F121 - G121 - (F121 * H121)</f>
        <v>0</v>
      </c>
    </row>
    <row r="122" spans="1:9">
      <c r="A122" t="s">
        <v>129</v>
      </c>
      <c r="B122">
        <v>2.1</v>
      </c>
      <c r="C122">
        <v>0</v>
      </c>
      <c r="D122">
        <f>VLOOKUP(A122, Employees!A:I, 7, FALSE)</f>
        <v>0</v>
      </c>
      <c r="E122" s="2">
        <f>VLOOKUP(A122, Employees!A:I, 9, FALSE)</f>
        <v>0</v>
      </c>
      <c r="F122" s="2">
        <f>E122 + (E122*(B122/5)*0.1) + (C122*45)</f>
        <v>0</v>
      </c>
      <c r="G122" s="2">
        <f>VLOOKUP(D122, Benefits!A:C, 2, FALSE)</f>
        <v>0</v>
      </c>
      <c r="H122" s="3">
        <f>VLOOKUP(F122, Tax_Brackets!A:D, 4, TRUE)</f>
        <v>0</v>
      </c>
      <c r="I122" s="2">
        <f>F122 - G122 - (F122 * H122)</f>
        <v>0</v>
      </c>
    </row>
    <row r="123" spans="1:9">
      <c r="A123" t="s">
        <v>130</v>
      </c>
      <c r="B123">
        <v>2.7</v>
      </c>
      <c r="C123">
        <v>7</v>
      </c>
      <c r="D123">
        <f>VLOOKUP(A123, Employees!A:I, 7, FALSE)</f>
        <v>0</v>
      </c>
      <c r="E123" s="2">
        <f>VLOOKUP(A123, Employees!A:I, 9, FALSE)</f>
        <v>0</v>
      </c>
      <c r="F123" s="2">
        <f>E123 + (E123*(B123/5)*0.1) + (C123*45)</f>
        <v>0</v>
      </c>
      <c r="G123" s="2">
        <f>VLOOKUP(D123, Benefits!A:C, 2, FALSE)</f>
        <v>0</v>
      </c>
      <c r="H123" s="3">
        <f>VLOOKUP(F123, Tax_Brackets!A:D, 4, TRUE)</f>
        <v>0</v>
      </c>
      <c r="I123" s="2">
        <f>F123 - G123 - (F123 * H123)</f>
        <v>0</v>
      </c>
    </row>
    <row r="124" spans="1:9">
      <c r="A124" t="s">
        <v>131</v>
      </c>
      <c r="B124">
        <v>2.7</v>
      </c>
      <c r="C124">
        <v>0</v>
      </c>
      <c r="D124">
        <f>VLOOKUP(A124, Employees!A:I, 7, FALSE)</f>
        <v>0</v>
      </c>
      <c r="E124" s="2">
        <f>VLOOKUP(A124, Employees!A:I, 9, FALSE)</f>
        <v>0</v>
      </c>
      <c r="F124" s="2">
        <f>E124 + (E124*(B124/5)*0.1) + (C124*45)</f>
        <v>0</v>
      </c>
      <c r="G124" s="2">
        <f>VLOOKUP(D124, Benefits!A:C, 2, FALSE)</f>
        <v>0</v>
      </c>
      <c r="H124" s="3">
        <f>VLOOKUP(F124, Tax_Brackets!A:D, 4, TRUE)</f>
        <v>0</v>
      </c>
      <c r="I124" s="2">
        <f>F124 - G124 - (F124 * H124)</f>
        <v>0</v>
      </c>
    </row>
    <row r="125" spans="1:9">
      <c r="A125" t="s">
        <v>132</v>
      </c>
      <c r="B125">
        <v>2.5</v>
      </c>
      <c r="C125">
        <v>0</v>
      </c>
      <c r="D125">
        <f>VLOOKUP(A125, Employees!A:I, 7, FALSE)</f>
        <v>0</v>
      </c>
      <c r="E125" s="2">
        <f>VLOOKUP(A125, Employees!A:I, 9, FALSE)</f>
        <v>0</v>
      </c>
      <c r="F125" s="2">
        <f>E125 + (E125*(B125/5)*0.1) + (C125*45)</f>
        <v>0</v>
      </c>
      <c r="G125" s="2">
        <f>VLOOKUP(D125, Benefits!A:C, 2, FALSE)</f>
        <v>0</v>
      </c>
      <c r="H125" s="3">
        <f>VLOOKUP(F125, Tax_Brackets!A:D, 4, TRUE)</f>
        <v>0</v>
      </c>
      <c r="I125" s="2">
        <f>F125 - G125 - (F125 * H125)</f>
        <v>0</v>
      </c>
    </row>
    <row r="126" spans="1:9">
      <c r="A126" t="s">
        <v>133</v>
      </c>
      <c r="B126">
        <v>3.1</v>
      </c>
      <c r="C126">
        <v>19</v>
      </c>
      <c r="D126">
        <f>VLOOKUP(A126, Employees!A:I, 7, FALSE)</f>
        <v>0</v>
      </c>
      <c r="E126" s="2">
        <f>VLOOKUP(A126, Employees!A:I, 9, FALSE)</f>
        <v>0</v>
      </c>
      <c r="F126" s="2">
        <f>E126 + (E126*(B126/5)*0.1) + (C126*45)</f>
        <v>0</v>
      </c>
      <c r="G126" s="2">
        <f>VLOOKUP(D126, Benefits!A:C, 2, FALSE)</f>
        <v>0</v>
      </c>
      <c r="H126" s="3">
        <f>VLOOKUP(F126, Tax_Brackets!A:D, 4, TRUE)</f>
        <v>0</v>
      </c>
      <c r="I126" s="2">
        <f>F126 - G126 - (F126 * H126)</f>
        <v>0</v>
      </c>
    </row>
    <row r="127" spans="1:9">
      <c r="A127" t="s">
        <v>134</v>
      </c>
      <c r="B127">
        <v>3.6</v>
      </c>
      <c r="C127">
        <v>0</v>
      </c>
      <c r="D127">
        <f>VLOOKUP(A127, Employees!A:I, 7, FALSE)</f>
        <v>0</v>
      </c>
      <c r="E127" s="2">
        <f>VLOOKUP(A127, Employees!A:I, 9, FALSE)</f>
        <v>0</v>
      </c>
      <c r="F127" s="2">
        <f>E127 + (E127*(B127/5)*0.1) + (C127*45)</f>
        <v>0</v>
      </c>
      <c r="G127" s="2">
        <f>VLOOKUP(D127, Benefits!A:C, 2, FALSE)</f>
        <v>0</v>
      </c>
      <c r="H127" s="3">
        <f>VLOOKUP(F127, Tax_Brackets!A:D, 4, TRUE)</f>
        <v>0</v>
      </c>
      <c r="I127" s="2">
        <f>F127 - G127 - (F127 * H127)</f>
        <v>0</v>
      </c>
    </row>
    <row r="128" spans="1:9">
      <c r="A128" t="s">
        <v>135</v>
      </c>
      <c r="B128">
        <v>3.9</v>
      </c>
      <c r="C128">
        <v>5</v>
      </c>
      <c r="D128">
        <f>VLOOKUP(A128, Employees!A:I, 7, FALSE)</f>
        <v>0</v>
      </c>
      <c r="E128" s="2">
        <f>VLOOKUP(A128, Employees!A:I, 9, FALSE)</f>
        <v>0</v>
      </c>
      <c r="F128" s="2">
        <f>E128 + (E128*(B128/5)*0.1) + (C128*45)</f>
        <v>0</v>
      </c>
      <c r="G128" s="2">
        <f>VLOOKUP(D128, Benefits!A:C, 2, FALSE)</f>
        <v>0</v>
      </c>
      <c r="H128" s="3">
        <f>VLOOKUP(F128, Tax_Brackets!A:D, 4, TRUE)</f>
        <v>0</v>
      </c>
      <c r="I128" s="2">
        <f>F128 - G128 - (F128 * H128)</f>
        <v>0</v>
      </c>
    </row>
    <row r="129" spans="1:9">
      <c r="A129" t="s">
        <v>136</v>
      </c>
      <c r="B129">
        <v>3.2</v>
      </c>
      <c r="C129">
        <v>0</v>
      </c>
      <c r="D129">
        <f>VLOOKUP(A129, Employees!A:I, 7, FALSE)</f>
        <v>0</v>
      </c>
      <c r="E129" s="2">
        <f>VLOOKUP(A129, Employees!A:I, 9, FALSE)</f>
        <v>0</v>
      </c>
      <c r="F129" s="2">
        <f>E129 + (E129*(B129/5)*0.1) + (C129*45)</f>
        <v>0</v>
      </c>
      <c r="G129" s="2">
        <f>VLOOKUP(D129, Benefits!A:C, 2, FALSE)</f>
        <v>0</v>
      </c>
      <c r="H129" s="3">
        <f>VLOOKUP(F129, Tax_Brackets!A:D, 4, TRUE)</f>
        <v>0</v>
      </c>
      <c r="I129" s="2">
        <f>F129 - G129 - (F129 * H129)</f>
        <v>0</v>
      </c>
    </row>
    <row r="130" spans="1:9">
      <c r="A130" t="s">
        <v>137</v>
      </c>
      <c r="B130">
        <v>2.3</v>
      </c>
      <c r="C130">
        <v>4</v>
      </c>
      <c r="D130">
        <f>VLOOKUP(A130, Employees!A:I, 7, FALSE)</f>
        <v>0</v>
      </c>
      <c r="E130" s="2">
        <f>VLOOKUP(A130, Employees!A:I, 9, FALSE)</f>
        <v>0</v>
      </c>
      <c r="F130" s="2">
        <f>E130 + (E130*(B130/5)*0.1) + (C130*45)</f>
        <v>0</v>
      </c>
      <c r="G130" s="2">
        <f>VLOOKUP(D130, Benefits!A:C, 2, FALSE)</f>
        <v>0</v>
      </c>
      <c r="H130" s="3">
        <f>VLOOKUP(F130, Tax_Brackets!A:D, 4, TRUE)</f>
        <v>0</v>
      </c>
      <c r="I130" s="2">
        <f>F130 - G130 - (F130 * H130)</f>
        <v>0</v>
      </c>
    </row>
    <row r="131" spans="1:9">
      <c r="A131" t="s">
        <v>138</v>
      </c>
      <c r="B131">
        <v>2.8</v>
      </c>
      <c r="C131">
        <v>0</v>
      </c>
      <c r="D131">
        <f>VLOOKUP(A131, Employees!A:I, 7, FALSE)</f>
        <v>0</v>
      </c>
      <c r="E131" s="2">
        <f>VLOOKUP(A131, Employees!A:I, 9, FALSE)</f>
        <v>0</v>
      </c>
      <c r="F131" s="2">
        <f>E131 + (E131*(B131/5)*0.1) + (C131*45)</f>
        <v>0</v>
      </c>
      <c r="G131" s="2">
        <f>VLOOKUP(D131, Benefits!A:C, 2, FALSE)</f>
        <v>0</v>
      </c>
      <c r="H131" s="3">
        <f>VLOOKUP(F131, Tax_Brackets!A:D, 4, TRUE)</f>
        <v>0</v>
      </c>
      <c r="I131" s="2">
        <f>F131 - G131 - (F131 * H131)</f>
        <v>0</v>
      </c>
    </row>
    <row r="132" spans="1:9">
      <c r="A132" t="s">
        <v>139</v>
      </c>
      <c r="B132">
        <v>3.4</v>
      </c>
      <c r="C132">
        <v>0</v>
      </c>
      <c r="D132">
        <f>VLOOKUP(A132, Employees!A:I, 7, FALSE)</f>
        <v>0</v>
      </c>
      <c r="E132" s="2">
        <f>VLOOKUP(A132, Employees!A:I, 9, FALSE)</f>
        <v>0</v>
      </c>
      <c r="F132" s="2">
        <f>E132 + (E132*(B132/5)*0.1) + (C132*45)</f>
        <v>0</v>
      </c>
      <c r="G132" s="2">
        <f>VLOOKUP(D132, Benefits!A:C, 2, FALSE)</f>
        <v>0</v>
      </c>
      <c r="H132" s="3">
        <f>VLOOKUP(F132, Tax_Brackets!A:D, 4, TRUE)</f>
        <v>0</v>
      </c>
      <c r="I132" s="2">
        <f>F132 - G132 - (F132 * H132)</f>
        <v>0</v>
      </c>
    </row>
    <row r="133" spans="1:9">
      <c r="A133" t="s">
        <v>140</v>
      </c>
      <c r="B133">
        <v>4.2</v>
      </c>
      <c r="C133">
        <v>0</v>
      </c>
      <c r="D133">
        <f>VLOOKUP(A133, Employees!A:I, 7, FALSE)</f>
        <v>0</v>
      </c>
      <c r="E133" s="2">
        <f>VLOOKUP(A133, Employees!A:I, 9, FALSE)</f>
        <v>0</v>
      </c>
      <c r="F133" s="2">
        <f>E133 + (E133*(B133/5)*0.1) + (C133*45)</f>
        <v>0</v>
      </c>
      <c r="G133" s="2">
        <f>VLOOKUP(D133, Benefits!A:C, 2, FALSE)</f>
        <v>0</v>
      </c>
      <c r="H133" s="3">
        <f>VLOOKUP(F133, Tax_Brackets!A:D, 4, TRUE)</f>
        <v>0</v>
      </c>
      <c r="I133" s="2">
        <f>F133 - G133 - (F133 * H133)</f>
        <v>0</v>
      </c>
    </row>
    <row r="134" spans="1:9">
      <c r="A134" t="s">
        <v>141</v>
      </c>
      <c r="B134">
        <v>3.2</v>
      </c>
      <c r="C134">
        <v>0</v>
      </c>
      <c r="D134">
        <f>VLOOKUP(A134, Employees!A:I, 7, FALSE)</f>
        <v>0</v>
      </c>
      <c r="E134" s="2">
        <f>VLOOKUP(A134, Employees!A:I, 9, FALSE)</f>
        <v>0</v>
      </c>
      <c r="F134" s="2">
        <f>E134 + (E134*(B134/5)*0.1) + (C134*45)</f>
        <v>0</v>
      </c>
      <c r="G134" s="2">
        <f>VLOOKUP(D134, Benefits!A:C, 2, FALSE)</f>
        <v>0</v>
      </c>
      <c r="H134" s="3">
        <f>VLOOKUP(F134, Tax_Brackets!A:D, 4, TRUE)</f>
        <v>0</v>
      </c>
      <c r="I134" s="2">
        <f>F134 - G134 - (F134 * H134)</f>
        <v>0</v>
      </c>
    </row>
    <row r="135" spans="1:9">
      <c r="A135" t="s">
        <v>142</v>
      </c>
      <c r="B135">
        <v>4.5</v>
      </c>
      <c r="C135">
        <v>0</v>
      </c>
      <c r="D135">
        <f>VLOOKUP(A135, Employees!A:I, 7, FALSE)</f>
        <v>0</v>
      </c>
      <c r="E135" s="2">
        <f>VLOOKUP(A135, Employees!A:I, 9, FALSE)</f>
        <v>0</v>
      </c>
      <c r="F135" s="2">
        <f>E135 + (E135*(B135/5)*0.1) + (C135*45)</f>
        <v>0</v>
      </c>
      <c r="G135" s="2">
        <f>VLOOKUP(D135, Benefits!A:C, 2, FALSE)</f>
        <v>0</v>
      </c>
      <c r="H135" s="3">
        <f>VLOOKUP(F135, Tax_Brackets!A:D, 4, TRUE)</f>
        <v>0</v>
      </c>
      <c r="I135" s="2">
        <f>F135 - G135 - (F135 * H135)</f>
        <v>0</v>
      </c>
    </row>
    <row r="136" spans="1:9">
      <c r="A136" t="s">
        <v>143</v>
      </c>
      <c r="B136">
        <v>3</v>
      </c>
      <c r="C136">
        <v>23</v>
      </c>
      <c r="D136">
        <f>VLOOKUP(A136, Employees!A:I, 7, FALSE)</f>
        <v>0</v>
      </c>
      <c r="E136" s="2">
        <f>VLOOKUP(A136, Employees!A:I, 9, FALSE)</f>
        <v>0</v>
      </c>
      <c r="F136" s="2">
        <f>E136 + (E136*(B136/5)*0.1) + (C136*45)</f>
        <v>0</v>
      </c>
      <c r="G136" s="2">
        <f>VLOOKUP(D136, Benefits!A:C, 2, FALSE)</f>
        <v>0</v>
      </c>
      <c r="H136" s="3">
        <f>VLOOKUP(F136, Tax_Brackets!A:D, 4, TRUE)</f>
        <v>0</v>
      </c>
      <c r="I136" s="2">
        <f>F136 - G136 - (F136 * H136)</f>
        <v>0</v>
      </c>
    </row>
    <row r="137" spans="1:9">
      <c r="A137" t="s">
        <v>144</v>
      </c>
      <c r="B137">
        <v>3.1</v>
      </c>
      <c r="C137">
        <v>9</v>
      </c>
      <c r="D137">
        <f>VLOOKUP(A137, Employees!A:I, 7, FALSE)</f>
        <v>0</v>
      </c>
      <c r="E137" s="2">
        <f>VLOOKUP(A137, Employees!A:I, 9, FALSE)</f>
        <v>0</v>
      </c>
      <c r="F137" s="2">
        <f>E137 + (E137*(B137/5)*0.1) + (C137*45)</f>
        <v>0</v>
      </c>
      <c r="G137" s="2">
        <f>VLOOKUP(D137, Benefits!A:C, 2, FALSE)</f>
        <v>0</v>
      </c>
      <c r="H137" s="3">
        <f>VLOOKUP(F137, Tax_Brackets!A:D, 4, TRUE)</f>
        <v>0</v>
      </c>
      <c r="I137" s="2">
        <f>F137 - G137 - (F137 * H137)</f>
        <v>0</v>
      </c>
    </row>
    <row r="138" spans="1:9">
      <c r="A138" t="s">
        <v>145</v>
      </c>
      <c r="B138">
        <v>5</v>
      </c>
      <c r="C138">
        <v>0</v>
      </c>
      <c r="D138">
        <f>VLOOKUP(A138, Employees!A:I, 7, FALSE)</f>
        <v>0</v>
      </c>
      <c r="E138" s="2">
        <f>VLOOKUP(A138, Employees!A:I, 9, FALSE)</f>
        <v>0</v>
      </c>
      <c r="F138" s="2">
        <f>E138 + (E138*(B138/5)*0.1) + (C138*45)</f>
        <v>0</v>
      </c>
      <c r="G138" s="2">
        <f>VLOOKUP(D138, Benefits!A:C, 2, FALSE)</f>
        <v>0</v>
      </c>
      <c r="H138" s="3">
        <f>VLOOKUP(F138, Tax_Brackets!A:D, 4, TRUE)</f>
        <v>0</v>
      </c>
      <c r="I138" s="2">
        <f>F138 - G138 - (F138 * H138)</f>
        <v>0</v>
      </c>
    </row>
    <row r="139" spans="1:9">
      <c r="A139" t="s">
        <v>146</v>
      </c>
      <c r="B139">
        <v>4.4</v>
      </c>
      <c r="C139">
        <v>0</v>
      </c>
      <c r="D139">
        <f>VLOOKUP(A139, Employees!A:I, 7, FALSE)</f>
        <v>0</v>
      </c>
      <c r="E139" s="2">
        <f>VLOOKUP(A139, Employees!A:I, 9, FALSE)</f>
        <v>0</v>
      </c>
      <c r="F139" s="2">
        <f>E139 + (E139*(B139/5)*0.1) + (C139*45)</f>
        <v>0</v>
      </c>
      <c r="G139" s="2">
        <f>VLOOKUP(D139, Benefits!A:C, 2, FALSE)</f>
        <v>0</v>
      </c>
      <c r="H139" s="3">
        <f>VLOOKUP(F139, Tax_Brackets!A:D, 4, TRUE)</f>
        <v>0</v>
      </c>
      <c r="I139" s="2">
        <f>F139 - G139 - (F139 * H139)</f>
        <v>0</v>
      </c>
    </row>
    <row r="140" spans="1:9">
      <c r="A140" t="s">
        <v>147</v>
      </c>
      <c r="B140">
        <v>4.2</v>
      </c>
      <c r="C140">
        <v>3</v>
      </c>
      <c r="D140">
        <f>VLOOKUP(A140, Employees!A:I, 7, FALSE)</f>
        <v>0</v>
      </c>
      <c r="E140" s="2">
        <f>VLOOKUP(A140, Employees!A:I, 9, FALSE)</f>
        <v>0</v>
      </c>
      <c r="F140" s="2">
        <f>E140 + (E140*(B140/5)*0.1) + (C140*45)</f>
        <v>0</v>
      </c>
      <c r="G140" s="2">
        <f>VLOOKUP(D140, Benefits!A:C, 2, FALSE)</f>
        <v>0</v>
      </c>
      <c r="H140" s="3">
        <f>VLOOKUP(F140, Tax_Brackets!A:D, 4, TRUE)</f>
        <v>0</v>
      </c>
      <c r="I140" s="2">
        <f>F140 - G140 - (F140 * H140)</f>
        <v>0</v>
      </c>
    </row>
    <row r="141" spans="1:9">
      <c r="A141" t="s">
        <v>148</v>
      </c>
      <c r="B141">
        <v>4.2</v>
      </c>
      <c r="C141">
        <v>16</v>
      </c>
      <c r="D141">
        <f>VLOOKUP(A141, Employees!A:I, 7, FALSE)</f>
        <v>0</v>
      </c>
      <c r="E141" s="2">
        <f>VLOOKUP(A141, Employees!A:I, 9, FALSE)</f>
        <v>0</v>
      </c>
      <c r="F141" s="2">
        <f>E141 + (E141*(B141/5)*0.1) + (C141*45)</f>
        <v>0</v>
      </c>
      <c r="G141" s="2">
        <f>VLOOKUP(D141, Benefits!A:C, 2, FALSE)</f>
        <v>0</v>
      </c>
      <c r="H141" s="3">
        <f>VLOOKUP(F141, Tax_Brackets!A:D, 4, TRUE)</f>
        <v>0</v>
      </c>
      <c r="I141" s="2">
        <f>F141 - G141 - (F141 * H141)</f>
        <v>0</v>
      </c>
    </row>
    <row r="142" spans="1:9">
      <c r="A142" t="s">
        <v>149</v>
      </c>
      <c r="B142">
        <v>4.2</v>
      </c>
      <c r="C142">
        <v>0</v>
      </c>
      <c r="D142">
        <f>VLOOKUP(A142, Employees!A:I, 7, FALSE)</f>
        <v>0</v>
      </c>
      <c r="E142" s="2">
        <f>VLOOKUP(A142, Employees!A:I, 9, FALSE)</f>
        <v>0</v>
      </c>
      <c r="F142" s="2">
        <f>E142 + (E142*(B142/5)*0.1) + (C142*45)</f>
        <v>0</v>
      </c>
      <c r="G142" s="2">
        <f>VLOOKUP(D142, Benefits!A:C, 2, FALSE)</f>
        <v>0</v>
      </c>
      <c r="H142" s="3">
        <f>VLOOKUP(F142, Tax_Brackets!A:D, 4, TRUE)</f>
        <v>0</v>
      </c>
      <c r="I142" s="2">
        <f>F142 - G142 - (F142 * H142)</f>
        <v>0</v>
      </c>
    </row>
    <row r="143" spans="1:9">
      <c r="A143" t="s">
        <v>150</v>
      </c>
      <c r="B143">
        <v>4.4</v>
      </c>
      <c r="C143">
        <v>0</v>
      </c>
      <c r="D143">
        <f>VLOOKUP(A143, Employees!A:I, 7, FALSE)</f>
        <v>0</v>
      </c>
      <c r="E143" s="2">
        <f>VLOOKUP(A143, Employees!A:I, 9, FALSE)</f>
        <v>0</v>
      </c>
      <c r="F143" s="2">
        <f>E143 + (E143*(B143/5)*0.1) + (C143*45)</f>
        <v>0</v>
      </c>
      <c r="G143" s="2">
        <f>VLOOKUP(D143, Benefits!A:C, 2, FALSE)</f>
        <v>0</v>
      </c>
      <c r="H143" s="3">
        <f>VLOOKUP(F143, Tax_Brackets!A:D, 4, TRUE)</f>
        <v>0</v>
      </c>
      <c r="I143" s="2">
        <f>F143 - G143 - (F143 * H143)</f>
        <v>0</v>
      </c>
    </row>
    <row r="144" spans="1:9">
      <c r="A144" t="s">
        <v>151</v>
      </c>
      <c r="B144">
        <v>3</v>
      </c>
      <c r="C144">
        <v>4</v>
      </c>
      <c r="D144">
        <f>VLOOKUP(A144, Employees!A:I, 7, FALSE)</f>
        <v>0</v>
      </c>
      <c r="E144" s="2">
        <f>VLOOKUP(A144, Employees!A:I, 9, FALSE)</f>
        <v>0</v>
      </c>
      <c r="F144" s="2">
        <f>E144 + (E144*(B144/5)*0.1) + (C144*45)</f>
        <v>0</v>
      </c>
      <c r="G144" s="2">
        <f>VLOOKUP(D144, Benefits!A:C, 2, FALSE)</f>
        <v>0</v>
      </c>
      <c r="H144" s="3">
        <f>VLOOKUP(F144, Tax_Brackets!A:D, 4, TRUE)</f>
        <v>0</v>
      </c>
      <c r="I144" s="2">
        <f>F144 - G144 - (F144 * H144)</f>
        <v>0</v>
      </c>
    </row>
    <row r="145" spans="1:9">
      <c r="A145" t="s">
        <v>152</v>
      </c>
      <c r="B145">
        <v>3</v>
      </c>
      <c r="C145">
        <v>4</v>
      </c>
      <c r="D145">
        <f>VLOOKUP(A145, Employees!A:I, 7, FALSE)</f>
        <v>0</v>
      </c>
      <c r="E145" s="2">
        <f>VLOOKUP(A145, Employees!A:I, 9, FALSE)</f>
        <v>0</v>
      </c>
      <c r="F145" s="2">
        <f>E145 + (E145*(B145/5)*0.1) + (C145*45)</f>
        <v>0</v>
      </c>
      <c r="G145" s="2">
        <f>VLOOKUP(D145, Benefits!A:C, 2, FALSE)</f>
        <v>0</v>
      </c>
      <c r="H145" s="3">
        <f>VLOOKUP(F145, Tax_Brackets!A:D, 4, TRUE)</f>
        <v>0</v>
      </c>
      <c r="I145" s="2">
        <f>F145 - G145 - (F145 * H145)</f>
        <v>0</v>
      </c>
    </row>
    <row r="146" spans="1:9">
      <c r="A146" t="s">
        <v>153</v>
      </c>
      <c r="B146">
        <v>3.9</v>
      </c>
      <c r="C146">
        <v>0</v>
      </c>
      <c r="D146">
        <f>VLOOKUP(A146, Employees!A:I, 7, FALSE)</f>
        <v>0</v>
      </c>
      <c r="E146" s="2">
        <f>VLOOKUP(A146, Employees!A:I, 9, FALSE)</f>
        <v>0</v>
      </c>
      <c r="F146" s="2">
        <f>E146 + (E146*(B146/5)*0.1) + (C146*45)</f>
        <v>0</v>
      </c>
      <c r="G146" s="2">
        <f>VLOOKUP(D146, Benefits!A:C, 2, FALSE)</f>
        <v>0</v>
      </c>
      <c r="H146" s="3">
        <f>VLOOKUP(F146, Tax_Brackets!A:D, 4, TRUE)</f>
        <v>0</v>
      </c>
      <c r="I146" s="2">
        <f>F146 - G146 - (F146 * H146)</f>
        <v>0</v>
      </c>
    </row>
    <row r="147" spans="1:9">
      <c r="A147" t="s">
        <v>154</v>
      </c>
      <c r="B147">
        <v>3.3</v>
      </c>
      <c r="C147">
        <v>4</v>
      </c>
      <c r="D147">
        <f>VLOOKUP(A147, Employees!A:I, 7, FALSE)</f>
        <v>0</v>
      </c>
      <c r="E147" s="2">
        <f>VLOOKUP(A147, Employees!A:I, 9, FALSE)</f>
        <v>0</v>
      </c>
      <c r="F147" s="2">
        <f>E147 + (E147*(B147/5)*0.1) + (C147*45)</f>
        <v>0</v>
      </c>
      <c r="G147" s="2">
        <f>VLOOKUP(D147, Benefits!A:C, 2, FALSE)</f>
        <v>0</v>
      </c>
      <c r="H147" s="3">
        <f>VLOOKUP(F147, Tax_Brackets!A:D, 4, TRUE)</f>
        <v>0</v>
      </c>
      <c r="I147" s="2">
        <f>F147 - G147 - (F147 * H147)</f>
        <v>0</v>
      </c>
    </row>
    <row r="148" spans="1:9">
      <c r="A148" t="s">
        <v>155</v>
      </c>
      <c r="B148">
        <v>3.2</v>
      </c>
      <c r="C148">
        <v>5</v>
      </c>
      <c r="D148">
        <f>VLOOKUP(A148, Employees!A:I, 7, FALSE)</f>
        <v>0</v>
      </c>
      <c r="E148" s="2">
        <f>VLOOKUP(A148, Employees!A:I, 9, FALSE)</f>
        <v>0</v>
      </c>
      <c r="F148" s="2">
        <f>E148 + (E148*(B148/5)*0.1) + (C148*45)</f>
        <v>0</v>
      </c>
      <c r="G148" s="2">
        <f>VLOOKUP(D148, Benefits!A:C, 2, FALSE)</f>
        <v>0</v>
      </c>
      <c r="H148" s="3">
        <f>VLOOKUP(F148, Tax_Brackets!A:D, 4, TRUE)</f>
        <v>0</v>
      </c>
      <c r="I148" s="2">
        <f>F148 - G148 - (F148 * H148)</f>
        <v>0</v>
      </c>
    </row>
    <row r="149" spans="1:9">
      <c r="A149" t="s">
        <v>156</v>
      </c>
      <c r="B149">
        <v>1.9</v>
      </c>
      <c r="C149">
        <v>0</v>
      </c>
      <c r="D149">
        <f>VLOOKUP(A149, Employees!A:I, 7, FALSE)</f>
        <v>0</v>
      </c>
      <c r="E149" s="2">
        <f>VLOOKUP(A149, Employees!A:I, 9, FALSE)</f>
        <v>0</v>
      </c>
      <c r="F149" s="2">
        <f>E149 + (E149*(B149/5)*0.1) + (C149*45)</f>
        <v>0</v>
      </c>
      <c r="G149" s="2">
        <f>VLOOKUP(D149, Benefits!A:C, 2, FALSE)</f>
        <v>0</v>
      </c>
      <c r="H149" s="3">
        <f>VLOOKUP(F149, Tax_Brackets!A:D, 4, TRUE)</f>
        <v>0</v>
      </c>
      <c r="I149" s="2">
        <f>F149 - G149 - (F149 * H149)</f>
        <v>0</v>
      </c>
    </row>
    <row r="150" spans="1:9">
      <c r="A150" t="s">
        <v>157</v>
      </c>
      <c r="B150">
        <v>1</v>
      </c>
      <c r="C150">
        <v>0</v>
      </c>
      <c r="D150">
        <f>VLOOKUP(A150, Employees!A:I, 7, FALSE)</f>
        <v>0</v>
      </c>
      <c r="E150" s="2">
        <f>VLOOKUP(A150, Employees!A:I, 9, FALSE)</f>
        <v>0</v>
      </c>
      <c r="F150" s="2">
        <f>E150 + (E150*(B150/5)*0.1) + (C150*45)</f>
        <v>0</v>
      </c>
      <c r="G150" s="2">
        <f>VLOOKUP(D150, Benefits!A:C, 2, FALSE)</f>
        <v>0</v>
      </c>
      <c r="H150" s="3">
        <f>VLOOKUP(F150, Tax_Brackets!A:D, 4, TRUE)</f>
        <v>0</v>
      </c>
      <c r="I150" s="2">
        <f>F150 - G150 - (F150 * H150)</f>
        <v>0</v>
      </c>
    </row>
    <row r="151" spans="1:9">
      <c r="A151" t="s">
        <v>158</v>
      </c>
      <c r="B151">
        <v>3</v>
      </c>
      <c r="C151">
        <v>5</v>
      </c>
      <c r="D151">
        <f>VLOOKUP(A151, Employees!A:I, 7, FALSE)</f>
        <v>0</v>
      </c>
      <c r="E151" s="2">
        <f>VLOOKUP(A151, Employees!A:I, 9, FALSE)</f>
        <v>0</v>
      </c>
      <c r="F151" s="2">
        <f>E151 + (E151*(B151/5)*0.1) + (C151*45)</f>
        <v>0</v>
      </c>
      <c r="G151" s="2">
        <f>VLOOKUP(D151, Benefits!A:C, 2, FALSE)</f>
        <v>0</v>
      </c>
      <c r="H151" s="3">
        <f>VLOOKUP(F151, Tax_Brackets!A:D, 4, TRUE)</f>
        <v>0</v>
      </c>
      <c r="I151" s="2">
        <f>F151 - G151 - (F151 * H151)</f>
        <v>0</v>
      </c>
    </row>
    <row r="152" spans="1:9">
      <c r="A152" t="s">
        <v>159</v>
      </c>
      <c r="B152">
        <v>3</v>
      </c>
      <c r="C152">
        <v>9</v>
      </c>
      <c r="D152">
        <f>VLOOKUP(A152, Employees!A:I, 7, FALSE)</f>
        <v>0</v>
      </c>
      <c r="E152" s="2">
        <f>VLOOKUP(A152, Employees!A:I, 9, FALSE)</f>
        <v>0</v>
      </c>
      <c r="F152" s="2">
        <f>E152 + (E152*(B152/5)*0.1) + (C152*45)</f>
        <v>0</v>
      </c>
      <c r="G152" s="2">
        <f>VLOOKUP(D152, Benefits!A:C, 2, FALSE)</f>
        <v>0</v>
      </c>
      <c r="H152" s="3">
        <f>VLOOKUP(F152, Tax_Brackets!A:D, 4, TRUE)</f>
        <v>0</v>
      </c>
      <c r="I152" s="2">
        <f>F152 - G152 - (F152 * H152)</f>
        <v>0</v>
      </c>
    </row>
    <row r="153" spans="1:9">
      <c r="A153" t="s">
        <v>160</v>
      </c>
      <c r="B153">
        <v>4.7</v>
      </c>
      <c r="C153">
        <v>0</v>
      </c>
      <c r="D153">
        <f>VLOOKUP(A153, Employees!A:I, 7, FALSE)</f>
        <v>0</v>
      </c>
      <c r="E153" s="2">
        <f>VLOOKUP(A153, Employees!A:I, 9, FALSE)</f>
        <v>0</v>
      </c>
      <c r="F153" s="2">
        <f>E153 + (E153*(B153/5)*0.1) + (C153*45)</f>
        <v>0</v>
      </c>
      <c r="G153" s="2">
        <f>VLOOKUP(D153, Benefits!A:C, 2, FALSE)</f>
        <v>0</v>
      </c>
      <c r="H153" s="3">
        <f>VLOOKUP(F153, Tax_Brackets!A:D, 4, TRUE)</f>
        <v>0</v>
      </c>
      <c r="I153" s="2">
        <f>F153 - G153 - (F153 * H153)</f>
        <v>0</v>
      </c>
    </row>
    <row r="154" spans="1:9">
      <c r="A154" t="s">
        <v>161</v>
      </c>
      <c r="B154">
        <v>4.1</v>
      </c>
      <c r="C154">
        <v>0</v>
      </c>
      <c r="D154">
        <f>VLOOKUP(A154, Employees!A:I, 7, FALSE)</f>
        <v>0</v>
      </c>
      <c r="E154" s="2">
        <f>VLOOKUP(A154, Employees!A:I, 9, FALSE)</f>
        <v>0</v>
      </c>
      <c r="F154" s="2">
        <f>E154 + (E154*(B154/5)*0.1) + (C154*45)</f>
        <v>0</v>
      </c>
      <c r="G154" s="2">
        <f>VLOOKUP(D154, Benefits!A:C, 2, FALSE)</f>
        <v>0</v>
      </c>
      <c r="H154" s="3">
        <f>VLOOKUP(F154, Tax_Brackets!A:D, 4, TRUE)</f>
        <v>0</v>
      </c>
      <c r="I154" s="2">
        <f>F154 - G154 - (F154 * H154)</f>
        <v>0</v>
      </c>
    </row>
    <row r="155" spans="1:9">
      <c r="A155" t="s">
        <v>162</v>
      </c>
      <c r="B155">
        <v>3.4</v>
      </c>
      <c r="C155">
        <v>2</v>
      </c>
      <c r="D155">
        <f>VLOOKUP(A155, Employees!A:I, 7, FALSE)</f>
        <v>0</v>
      </c>
      <c r="E155" s="2">
        <f>VLOOKUP(A155, Employees!A:I, 9, FALSE)</f>
        <v>0</v>
      </c>
      <c r="F155" s="2">
        <f>E155 + (E155*(B155/5)*0.1) + (C155*45)</f>
        <v>0</v>
      </c>
      <c r="G155" s="2">
        <f>VLOOKUP(D155, Benefits!A:C, 2, FALSE)</f>
        <v>0</v>
      </c>
      <c r="H155" s="3">
        <f>VLOOKUP(F155, Tax_Brackets!A:D, 4, TRUE)</f>
        <v>0</v>
      </c>
      <c r="I155" s="2">
        <f>F155 - G155 - (F155 * H155)</f>
        <v>0</v>
      </c>
    </row>
    <row r="156" spans="1:9">
      <c r="A156" t="s">
        <v>163</v>
      </c>
      <c r="B156">
        <v>3.8</v>
      </c>
      <c r="C156">
        <v>0</v>
      </c>
      <c r="D156">
        <f>VLOOKUP(A156, Employees!A:I, 7, FALSE)</f>
        <v>0</v>
      </c>
      <c r="E156" s="2">
        <f>VLOOKUP(A156, Employees!A:I, 9, FALSE)</f>
        <v>0</v>
      </c>
      <c r="F156" s="2">
        <f>E156 + (E156*(B156/5)*0.1) + (C156*45)</f>
        <v>0</v>
      </c>
      <c r="G156" s="2">
        <f>VLOOKUP(D156, Benefits!A:C, 2, FALSE)</f>
        <v>0</v>
      </c>
      <c r="H156" s="3">
        <f>VLOOKUP(F156, Tax_Brackets!A:D, 4, TRUE)</f>
        <v>0</v>
      </c>
      <c r="I156" s="2">
        <f>F156 - G156 - (F156 * H156)</f>
        <v>0</v>
      </c>
    </row>
    <row r="157" spans="1:9">
      <c r="A157" t="s">
        <v>164</v>
      </c>
      <c r="B157">
        <v>2.9</v>
      </c>
      <c r="C157">
        <v>0</v>
      </c>
      <c r="D157">
        <f>VLOOKUP(A157, Employees!A:I, 7, FALSE)</f>
        <v>0</v>
      </c>
      <c r="E157" s="2">
        <f>VLOOKUP(A157, Employees!A:I, 9, FALSE)</f>
        <v>0</v>
      </c>
      <c r="F157" s="2">
        <f>E157 + (E157*(B157/5)*0.1) + (C157*45)</f>
        <v>0</v>
      </c>
      <c r="G157" s="2">
        <f>VLOOKUP(D157, Benefits!A:C, 2, FALSE)</f>
        <v>0</v>
      </c>
      <c r="H157" s="3">
        <f>VLOOKUP(F157, Tax_Brackets!A:D, 4, TRUE)</f>
        <v>0</v>
      </c>
      <c r="I157" s="2">
        <f>F157 - G157 - (F157 * H157)</f>
        <v>0</v>
      </c>
    </row>
    <row r="158" spans="1:9">
      <c r="A158" t="s">
        <v>165</v>
      </c>
      <c r="B158">
        <v>3.4</v>
      </c>
      <c r="C158">
        <v>0</v>
      </c>
      <c r="D158">
        <f>VLOOKUP(A158, Employees!A:I, 7, FALSE)</f>
        <v>0</v>
      </c>
      <c r="E158" s="2">
        <f>VLOOKUP(A158, Employees!A:I, 9, FALSE)</f>
        <v>0</v>
      </c>
      <c r="F158" s="2">
        <f>E158 + (E158*(B158/5)*0.1) + (C158*45)</f>
        <v>0</v>
      </c>
      <c r="G158" s="2">
        <f>VLOOKUP(D158, Benefits!A:C, 2, FALSE)</f>
        <v>0</v>
      </c>
      <c r="H158" s="3">
        <f>VLOOKUP(F158, Tax_Brackets!A:D, 4, TRUE)</f>
        <v>0</v>
      </c>
      <c r="I158" s="2">
        <f>F158 - G158 - (F158 * H158)</f>
        <v>0</v>
      </c>
    </row>
    <row r="159" spans="1:9">
      <c r="A159" t="s">
        <v>166</v>
      </c>
      <c r="B159">
        <v>2.8</v>
      </c>
      <c r="C159">
        <v>22</v>
      </c>
      <c r="D159">
        <f>VLOOKUP(A159, Employees!A:I, 7, FALSE)</f>
        <v>0</v>
      </c>
      <c r="E159" s="2">
        <f>VLOOKUP(A159, Employees!A:I, 9, FALSE)</f>
        <v>0</v>
      </c>
      <c r="F159" s="2">
        <f>E159 + (E159*(B159/5)*0.1) + (C159*45)</f>
        <v>0</v>
      </c>
      <c r="G159" s="2">
        <f>VLOOKUP(D159, Benefits!A:C, 2, FALSE)</f>
        <v>0</v>
      </c>
      <c r="H159" s="3">
        <f>VLOOKUP(F159, Tax_Brackets!A:D, 4, TRUE)</f>
        <v>0</v>
      </c>
      <c r="I159" s="2">
        <f>F159 - G159 - (F159 * H159)</f>
        <v>0</v>
      </c>
    </row>
    <row r="160" spans="1:9">
      <c r="A160" t="s">
        <v>167</v>
      </c>
      <c r="B160">
        <v>2.9</v>
      </c>
      <c r="C160">
        <v>1</v>
      </c>
      <c r="D160">
        <f>VLOOKUP(A160, Employees!A:I, 7, FALSE)</f>
        <v>0</v>
      </c>
      <c r="E160" s="2">
        <f>VLOOKUP(A160, Employees!A:I, 9, FALSE)</f>
        <v>0</v>
      </c>
      <c r="F160" s="2">
        <f>E160 + (E160*(B160/5)*0.1) + (C160*45)</f>
        <v>0</v>
      </c>
      <c r="G160" s="2">
        <f>VLOOKUP(D160, Benefits!A:C, 2, FALSE)</f>
        <v>0</v>
      </c>
      <c r="H160" s="3">
        <f>VLOOKUP(F160, Tax_Brackets!A:D, 4, TRUE)</f>
        <v>0</v>
      </c>
      <c r="I160" s="2">
        <f>F160 - G160 - (F160 * H160)</f>
        <v>0</v>
      </c>
    </row>
    <row r="161" spans="1:9">
      <c r="A161" t="s">
        <v>168</v>
      </c>
      <c r="B161">
        <v>2.4</v>
      </c>
      <c r="C161">
        <v>0</v>
      </c>
      <c r="D161">
        <f>VLOOKUP(A161, Employees!A:I, 7, FALSE)</f>
        <v>0</v>
      </c>
      <c r="E161" s="2">
        <f>VLOOKUP(A161, Employees!A:I, 9, FALSE)</f>
        <v>0</v>
      </c>
      <c r="F161" s="2">
        <f>E161 + (E161*(B161/5)*0.1) + (C161*45)</f>
        <v>0</v>
      </c>
      <c r="G161" s="2">
        <f>VLOOKUP(D161, Benefits!A:C, 2, FALSE)</f>
        <v>0</v>
      </c>
      <c r="H161" s="3">
        <f>VLOOKUP(F161, Tax_Brackets!A:D, 4, TRUE)</f>
        <v>0</v>
      </c>
      <c r="I161" s="2">
        <f>F161 - G161 - (F161 * H161)</f>
        <v>0</v>
      </c>
    </row>
    <row r="162" spans="1:9">
      <c r="A162" t="s">
        <v>169</v>
      </c>
      <c r="B162">
        <v>4.3</v>
      </c>
      <c r="C162">
        <v>0</v>
      </c>
      <c r="D162">
        <f>VLOOKUP(A162, Employees!A:I, 7, FALSE)</f>
        <v>0</v>
      </c>
      <c r="E162" s="2">
        <f>VLOOKUP(A162, Employees!A:I, 9, FALSE)</f>
        <v>0</v>
      </c>
      <c r="F162" s="2">
        <f>E162 + (E162*(B162/5)*0.1) + (C162*45)</f>
        <v>0</v>
      </c>
      <c r="G162" s="2">
        <f>VLOOKUP(D162, Benefits!A:C, 2, FALSE)</f>
        <v>0</v>
      </c>
      <c r="H162" s="3">
        <f>VLOOKUP(F162, Tax_Brackets!A:D, 4, TRUE)</f>
        <v>0</v>
      </c>
      <c r="I162" s="2">
        <f>F162 - G162 - (F162 * H162)</f>
        <v>0</v>
      </c>
    </row>
    <row r="163" spans="1:9">
      <c r="A163" t="s">
        <v>170</v>
      </c>
      <c r="B163">
        <v>4.6</v>
      </c>
      <c r="C163">
        <v>0</v>
      </c>
      <c r="D163">
        <f>VLOOKUP(A163, Employees!A:I, 7, FALSE)</f>
        <v>0</v>
      </c>
      <c r="E163" s="2">
        <f>VLOOKUP(A163, Employees!A:I, 9, FALSE)</f>
        <v>0</v>
      </c>
      <c r="F163" s="2">
        <f>E163 + (E163*(B163/5)*0.1) + (C163*45)</f>
        <v>0</v>
      </c>
      <c r="G163" s="2">
        <f>VLOOKUP(D163, Benefits!A:C, 2, FALSE)</f>
        <v>0</v>
      </c>
      <c r="H163" s="3">
        <f>VLOOKUP(F163, Tax_Brackets!A:D, 4, TRUE)</f>
        <v>0</v>
      </c>
      <c r="I163" s="2">
        <f>F163 - G163 - (F163 * H163)</f>
        <v>0</v>
      </c>
    </row>
    <row r="164" spans="1:9">
      <c r="A164" t="s">
        <v>171</v>
      </c>
      <c r="B164">
        <v>4.9</v>
      </c>
      <c r="C164">
        <v>0</v>
      </c>
      <c r="D164">
        <f>VLOOKUP(A164, Employees!A:I, 7, FALSE)</f>
        <v>0</v>
      </c>
      <c r="E164" s="2">
        <f>VLOOKUP(A164, Employees!A:I, 9, FALSE)</f>
        <v>0</v>
      </c>
      <c r="F164" s="2">
        <f>E164 + (E164*(B164/5)*0.1) + (C164*45)</f>
        <v>0</v>
      </c>
      <c r="G164" s="2">
        <f>VLOOKUP(D164, Benefits!A:C, 2, FALSE)</f>
        <v>0</v>
      </c>
      <c r="H164" s="3">
        <f>VLOOKUP(F164, Tax_Brackets!A:D, 4, TRUE)</f>
        <v>0</v>
      </c>
      <c r="I164" s="2">
        <f>F164 - G164 - (F164 * H164)</f>
        <v>0</v>
      </c>
    </row>
    <row r="165" spans="1:9">
      <c r="A165" t="s">
        <v>172</v>
      </c>
      <c r="B165">
        <v>5</v>
      </c>
      <c r="C165">
        <v>0</v>
      </c>
      <c r="D165">
        <f>VLOOKUP(A165, Employees!A:I, 7, FALSE)</f>
        <v>0</v>
      </c>
      <c r="E165" s="2">
        <f>VLOOKUP(A165, Employees!A:I, 9, FALSE)</f>
        <v>0</v>
      </c>
      <c r="F165" s="2">
        <f>E165 + (E165*(B165/5)*0.1) + (C165*45)</f>
        <v>0</v>
      </c>
      <c r="G165" s="2">
        <f>VLOOKUP(D165, Benefits!A:C, 2, FALSE)</f>
        <v>0</v>
      </c>
      <c r="H165" s="3">
        <f>VLOOKUP(F165, Tax_Brackets!A:D, 4, TRUE)</f>
        <v>0</v>
      </c>
      <c r="I165" s="2">
        <f>F165 - G165 - (F165 * H165)</f>
        <v>0</v>
      </c>
    </row>
    <row r="166" spans="1:9">
      <c r="A166" t="s">
        <v>173</v>
      </c>
      <c r="B166">
        <v>5</v>
      </c>
      <c r="C166">
        <v>0</v>
      </c>
      <c r="D166">
        <f>VLOOKUP(A166, Employees!A:I, 7, FALSE)</f>
        <v>0</v>
      </c>
      <c r="E166" s="2">
        <f>VLOOKUP(A166, Employees!A:I, 9, FALSE)</f>
        <v>0</v>
      </c>
      <c r="F166" s="2">
        <f>E166 + (E166*(B166/5)*0.1) + (C166*45)</f>
        <v>0</v>
      </c>
      <c r="G166" s="2">
        <f>VLOOKUP(D166, Benefits!A:C, 2, FALSE)</f>
        <v>0</v>
      </c>
      <c r="H166" s="3">
        <f>VLOOKUP(F166, Tax_Brackets!A:D, 4, TRUE)</f>
        <v>0</v>
      </c>
      <c r="I166" s="2">
        <f>F166 - G166 - (F166 * H166)</f>
        <v>0</v>
      </c>
    </row>
    <row r="167" spans="1:9">
      <c r="A167" t="s">
        <v>174</v>
      </c>
      <c r="B167">
        <v>5</v>
      </c>
      <c r="C167">
        <v>0</v>
      </c>
      <c r="D167">
        <f>VLOOKUP(A167, Employees!A:I, 7, FALSE)</f>
        <v>0</v>
      </c>
      <c r="E167" s="2">
        <f>VLOOKUP(A167, Employees!A:I, 9, FALSE)</f>
        <v>0</v>
      </c>
      <c r="F167" s="2">
        <f>E167 + (E167*(B167/5)*0.1) + (C167*45)</f>
        <v>0</v>
      </c>
      <c r="G167" s="2">
        <f>VLOOKUP(D167, Benefits!A:C, 2, FALSE)</f>
        <v>0</v>
      </c>
      <c r="H167" s="3">
        <f>VLOOKUP(F167, Tax_Brackets!A:D, 4, TRUE)</f>
        <v>0</v>
      </c>
      <c r="I167" s="2">
        <f>F167 - G167 - (F167 * H167)</f>
        <v>0</v>
      </c>
    </row>
    <row r="168" spans="1:9">
      <c r="A168" t="s">
        <v>175</v>
      </c>
      <c r="B168">
        <v>4.2</v>
      </c>
      <c r="C168">
        <v>1</v>
      </c>
      <c r="D168">
        <f>VLOOKUP(A168, Employees!A:I, 7, FALSE)</f>
        <v>0</v>
      </c>
      <c r="E168" s="2">
        <f>VLOOKUP(A168, Employees!A:I, 9, FALSE)</f>
        <v>0</v>
      </c>
      <c r="F168" s="2">
        <f>E168 + (E168*(B168/5)*0.1) + (C168*45)</f>
        <v>0</v>
      </c>
      <c r="G168" s="2">
        <f>VLOOKUP(D168, Benefits!A:C, 2, FALSE)</f>
        <v>0</v>
      </c>
      <c r="H168" s="3">
        <f>VLOOKUP(F168, Tax_Brackets!A:D, 4, TRUE)</f>
        <v>0</v>
      </c>
      <c r="I168" s="2">
        <f>F168 - G168 - (F168 * H168)</f>
        <v>0</v>
      </c>
    </row>
    <row r="169" spans="1:9">
      <c r="A169" t="s">
        <v>176</v>
      </c>
      <c r="B169">
        <v>4.6</v>
      </c>
      <c r="C169">
        <v>8</v>
      </c>
      <c r="D169">
        <f>VLOOKUP(A169, Employees!A:I, 7, FALSE)</f>
        <v>0</v>
      </c>
      <c r="E169" s="2">
        <f>VLOOKUP(A169, Employees!A:I, 9, FALSE)</f>
        <v>0</v>
      </c>
      <c r="F169" s="2">
        <f>E169 + (E169*(B169/5)*0.1) + (C169*45)</f>
        <v>0</v>
      </c>
      <c r="G169" s="2">
        <f>VLOOKUP(D169, Benefits!A:C, 2, FALSE)</f>
        <v>0</v>
      </c>
      <c r="H169" s="3">
        <f>VLOOKUP(F169, Tax_Brackets!A:D, 4, TRUE)</f>
        <v>0</v>
      </c>
      <c r="I169" s="2">
        <f>F169 - G169 - (F169 * H169)</f>
        <v>0</v>
      </c>
    </row>
    <row r="170" spans="1:9">
      <c r="A170" t="s">
        <v>177</v>
      </c>
      <c r="B170">
        <v>2.7</v>
      </c>
      <c r="C170">
        <v>0</v>
      </c>
      <c r="D170">
        <f>VLOOKUP(A170, Employees!A:I, 7, FALSE)</f>
        <v>0</v>
      </c>
      <c r="E170" s="2">
        <f>VLOOKUP(A170, Employees!A:I, 9, FALSE)</f>
        <v>0</v>
      </c>
      <c r="F170" s="2">
        <f>E170 + (E170*(B170/5)*0.1) + (C170*45)</f>
        <v>0</v>
      </c>
      <c r="G170" s="2">
        <f>VLOOKUP(D170, Benefits!A:C, 2, FALSE)</f>
        <v>0</v>
      </c>
      <c r="H170" s="3">
        <f>VLOOKUP(F170, Tax_Brackets!A:D, 4, TRUE)</f>
        <v>0</v>
      </c>
      <c r="I170" s="2">
        <f>F170 - G170 - (F170 * H170)</f>
        <v>0</v>
      </c>
    </row>
    <row r="171" spans="1:9">
      <c r="A171" t="s">
        <v>178</v>
      </c>
      <c r="B171">
        <v>2.8</v>
      </c>
      <c r="C171">
        <v>0</v>
      </c>
      <c r="D171">
        <f>VLOOKUP(A171, Employees!A:I, 7, FALSE)</f>
        <v>0</v>
      </c>
      <c r="E171" s="2">
        <f>VLOOKUP(A171, Employees!A:I, 9, FALSE)</f>
        <v>0</v>
      </c>
      <c r="F171" s="2">
        <f>E171 + (E171*(B171/5)*0.1) + (C171*45)</f>
        <v>0</v>
      </c>
      <c r="G171" s="2">
        <f>VLOOKUP(D171, Benefits!A:C, 2, FALSE)</f>
        <v>0</v>
      </c>
      <c r="H171" s="3">
        <f>VLOOKUP(F171, Tax_Brackets!A:D, 4, TRUE)</f>
        <v>0</v>
      </c>
      <c r="I171" s="2">
        <f>F171 - G171 - (F171 * H171)</f>
        <v>0</v>
      </c>
    </row>
    <row r="172" spans="1:9">
      <c r="A172" t="s">
        <v>179</v>
      </c>
      <c r="B172">
        <v>3.8</v>
      </c>
      <c r="C172">
        <v>0</v>
      </c>
      <c r="D172">
        <f>VLOOKUP(A172, Employees!A:I, 7, FALSE)</f>
        <v>0</v>
      </c>
      <c r="E172" s="2">
        <f>VLOOKUP(A172, Employees!A:I, 9, FALSE)</f>
        <v>0</v>
      </c>
      <c r="F172" s="2">
        <f>E172 + (E172*(B172/5)*0.1) + (C172*45)</f>
        <v>0</v>
      </c>
      <c r="G172" s="2">
        <f>VLOOKUP(D172, Benefits!A:C, 2, FALSE)</f>
        <v>0</v>
      </c>
      <c r="H172" s="3">
        <f>VLOOKUP(F172, Tax_Brackets!A:D, 4, TRUE)</f>
        <v>0</v>
      </c>
      <c r="I172" s="2">
        <f>F172 - G172 - (F172 * H172)</f>
        <v>0</v>
      </c>
    </row>
    <row r="173" spans="1:9">
      <c r="A173" t="s">
        <v>180</v>
      </c>
      <c r="B173">
        <v>4.5</v>
      </c>
      <c r="C173">
        <v>4</v>
      </c>
      <c r="D173">
        <f>VLOOKUP(A173, Employees!A:I, 7, FALSE)</f>
        <v>0</v>
      </c>
      <c r="E173" s="2">
        <f>VLOOKUP(A173, Employees!A:I, 9, FALSE)</f>
        <v>0</v>
      </c>
      <c r="F173" s="2">
        <f>E173 + (E173*(B173/5)*0.1) + (C173*45)</f>
        <v>0</v>
      </c>
      <c r="G173" s="2">
        <f>VLOOKUP(D173, Benefits!A:C, 2, FALSE)</f>
        <v>0</v>
      </c>
      <c r="H173" s="3">
        <f>VLOOKUP(F173, Tax_Brackets!A:D, 4, TRUE)</f>
        <v>0</v>
      </c>
      <c r="I173" s="2">
        <f>F173 - G173 - (F173 * H173)</f>
        <v>0</v>
      </c>
    </row>
    <row r="174" spans="1:9">
      <c r="A174" t="s">
        <v>181</v>
      </c>
      <c r="B174">
        <v>4</v>
      </c>
      <c r="C174">
        <v>6</v>
      </c>
      <c r="D174">
        <f>VLOOKUP(A174, Employees!A:I, 7, FALSE)</f>
        <v>0</v>
      </c>
      <c r="E174" s="2">
        <f>VLOOKUP(A174, Employees!A:I, 9, FALSE)</f>
        <v>0</v>
      </c>
      <c r="F174" s="2">
        <f>E174 + (E174*(B174/5)*0.1) + (C174*45)</f>
        <v>0</v>
      </c>
      <c r="G174" s="2">
        <f>VLOOKUP(D174, Benefits!A:C, 2, FALSE)</f>
        <v>0</v>
      </c>
      <c r="H174" s="3">
        <f>VLOOKUP(F174, Tax_Brackets!A:D, 4, TRUE)</f>
        <v>0</v>
      </c>
      <c r="I174" s="2">
        <f>F174 - G174 - (F174 * H174)</f>
        <v>0</v>
      </c>
    </row>
    <row r="175" spans="1:9">
      <c r="A175" t="s">
        <v>182</v>
      </c>
      <c r="B175">
        <v>4</v>
      </c>
      <c r="C175">
        <v>0</v>
      </c>
      <c r="D175">
        <f>VLOOKUP(A175, Employees!A:I, 7, FALSE)</f>
        <v>0</v>
      </c>
      <c r="E175" s="2">
        <f>VLOOKUP(A175, Employees!A:I, 9, FALSE)</f>
        <v>0</v>
      </c>
      <c r="F175" s="2">
        <f>E175 + (E175*(B175/5)*0.1) + (C175*45)</f>
        <v>0</v>
      </c>
      <c r="G175" s="2">
        <f>VLOOKUP(D175, Benefits!A:C, 2, FALSE)</f>
        <v>0</v>
      </c>
      <c r="H175" s="3">
        <f>VLOOKUP(F175, Tax_Brackets!A:D, 4, TRUE)</f>
        <v>0</v>
      </c>
      <c r="I175" s="2">
        <f>F175 - G175 - (F175 * H175)</f>
        <v>0</v>
      </c>
    </row>
    <row r="176" spans="1:9">
      <c r="A176" t="s">
        <v>183</v>
      </c>
      <c r="B176">
        <v>4</v>
      </c>
      <c r="C176">
        <v>0</v>
      </c>
      <c r="D176">
        <f>VLOOKUP(A176, Employees!A:I, 7, FALSE)</f>
        <v>0</v>
      </c>
      <c r="E176" s="2">
        <f>VLOOKUP(A176, Employees!A:I, 9, FALSE)</f>
        <v>0</v>
      </c>
      <c r="F176" s="2">
        <f>E176 + (E176*(B176/5)*0.1) + (C176*45)</f>
        <v>0</v>
      </c>
      <c r="G176" s="2">
        <f>VLOOKUP(D176, Benefits!A:C, 2, FALSE)</f>
        <v>0</v>
      </c>
      <c r="H176" s="3">
        <f>VLOOKUP(F176, Tax_Brackets!A:D, 4, TRUE)</f>
        <v>0</v>
      </c>
      <c r="I176" s="2">
        <f>F176 - G176 - (F176 * H176)</f>
        <v>0</v>
      </c>
    </row>
    <row r="177" spans="1:9">
      <c r="A177" t="s">
        <v>184</v>
      </c>
      <c r="B177">
        <v>3.6</v>
      </c>
      <c r="C177">
        <v>0</v>
      </c>
      <c r="D177">
        <f>VLOOKUP(A177, Employees!A:I, 7, FALSE)</f>
        <v>0</v>
      </c>
      <c r="E177" s="2">
        <f>VLOOKUP(A177, Employees!A:I, 9, FALSE)</f>
        <v>0</v>
      </c>
      <c r="F177" s="2">
        <f>E177 + (E177*(B177/5)*0.1) + (C177*45)</f>
        <v>0</v>
      </c>
      <c r="G177" s="2">
        <f>VLOOKUP(D177, Benefits!A:C, 2, FALSE)</f>
        <v>0</v>
      </c>
      <c r="H177" s="3">
        <f>VLOOKUP(F177, Tax_Brackets!A:D, 4, TRUE)</f>
        <v>0</v>
      </c>
      <c r="I177" s="2">
        <f>F177 - G177 - (F177 * H177)</f>
        <v>0</v>
      </c>
    </row>
    <row r="178" spans="1:9">
      <c r="A178" t="s">
        <v>185</v>
      </c>
      <c r="B178">
        <v>4.1</v>
      </c>
      <c r="C178">
        <v>0</v>
      </c>
      <c r="D178">
        <f>VLOOKUP(A178, Employees!A:I, 7, FALSE)</f>
        <v>0</v>
      </c>
      <c r="E178" s="2">
        <f>VLOOKUP(A178, Employees!A:I, 9, FALSE)</f>
        <v>0</v>
      </c>
      <c r="F178" s="2">
        <f>E178 + (E178*(B178/5)*0.1) + (C178*45)</f>
        <v>0</v>
      </c>
      <c r="G178" s="2">
        <f>VLOOKUP(D178, Benefits!A:C, 2, FALSE)</f>
        <v>0</v>
      </c>
      <c r="H178" s="3">
        <f>VLOOKUP(F178, Tax_Brackets!A:D, 4, TRUE)</f>
        <v>0</v>
      </c>
      <c r="I178" s="2">
        <f>F178 - G178 - (F178 * H178)</f>
        <v>0</v>
      </c>
    </row>
    <row r="179" spans="1:9">
      <c r="A179" t="s">
        <v>186</v>
      </c>
      <c r="B179">
        <v>2.7</v>
      </c>
      <c r="C179">
        <v>0</v>
      </c>
      <c r="D179">
        <f>VLOOKUP(A179, Employees!A:I, 7, FALSE)</f>
        <v>0</v>
      </c>
      <c r="E179" s="2">
        <f>VLOOKUP(A179, Employees!A:I, 9, FALSE)</f>
        <v>0</v>
      </c>
      <c r="F179" s="2">
        <f>E179 + (E179*(B179/5)*0.1) + (C179*45)</f>
        <v>0</v>
      </c>
      <c r="G179" s="2">
        <f>VLOOKUP(D179, Benefits!A:C, 2, FALSE)</f>
        <v>0</v>
      </c>
      <c r="H179" s="3">
        <f>VLOOKUP(F179, Tax_Brackets!A:D, 4, TRUE)</f>
        <v>0</v>
      </c>
      <c r="I179" s="2">
        <f>F179 - G179 - (F179 * H179)</f>
        <v>0</v>
      </c>
    </row>
    <row r="180" spans="1:9">
      <c r="A180" t="s">
        <v>187</v>
      </c>
      <c r="B180">
        <v>4.8</v>
      </c>
      <c r="C180">
        <v>20</v>
      </c>
      <c r="D180">
        <f>VLOOKUP(A180, Employees!A:I, 7, FALSE)</f>
        <v>0</v>
      </c>
      <c r="E180" s="2">
        <f>VLOOKUP(A180, Employees!A:I, 9, FALSE)</f>
        <v>0</v>
      </c>
      <c r="F180" s="2">
        <f>E180 + (E180*(B180/5)*0.1) + (C180*45)</f>
        <v>0</v>
      </c>
      <c r="G180" s="2">
        <f>VLOOKUP(D180, Benefits!A:C, 2, FALSE)</f>
        <v>0</v>
      </c>
      <c r="H180" s="3">
        <f>VLOOKUP(F180, Tax_Brackets!A:D, 4, TRUE)</f>
        <v>0</v>
      </c>
      <c r="I180" s="2">
        <f>F180 - G180 - (F180 * H180)</f>
        <v>0</v>
      </c>
    </row>
    <row r="181" spans="1:9">
      <c r="A181" t="s">
        <v>188</v>
      </c>
      <c r="B181">
        <v>4.7</v>
      </c>
      <c r="C181">
        <v>0</v>
      </c>
      <c r="D181">
        <f>VLOOKUP(A181, Employees!A:I, 7, FALSE)</f>
        <v>0</v>
      </c>
      <c r="E181" s="2">
        <f>VLOOKUP(A181, Employees!A:I, 9, FALSE)</f>
        <v>0</v>
      </c>
      <c r="F181" s="2">
        <f>E181 + (E181*(B181/5)*0.1) + (C181*45)</f>
        <v>0</v>
      </c>
      <c r="G181" s="2">
        <f>VLOOKUP(D181, Benefits!A:C, 2, FALSE)</f>
        <v>0</v>
      </c>
      <c r="H181" s="3">
        <f>VLOOKUP(F181, Tax_Brackets!A:D, 4, TRUE)</f>
        <v>0</v>
      </c>
      <c r="I181" s="2">
        <f>F181 - G181 - (F181 * H181)</f>
        <v>0</v>
      </c>
    </row>
    <row r="182" spans="1:9">
      <c r="A182" t="s">
        <v>189</v>
      </c>
      <c r="B182">
        <v>3.6</v>
      </c>
      <c r="C182">
        <v>0</v>
      </c>
      <c r="D182">
        <f>VLOOKUP(A182, Employees!A:I, 7, FALSE)</f>
        <v>0</v>
      </c>
      <c r="E182" s="2">
        <f>VLOOKUP(A182, Employees!A:I, 9, FALSE)</f>
        <v>0</v>
      </c>
      <c r="F182" s="2">
        <f>E182 + (E182*(B182/5)*0.1) + (C182*45)</f>
        <v>0</v>
      </c>
      <c r="G182" s="2">
        <f>VLOOKUP(D182, Benefits!A:C, 2, FALSE)</f>
        <v>0</v>
      </c>
      <c r="H182" s="3">
        <f>VLOOKUP(F182, Tax_Brackets!A:D, 4, TRUE)</f>
        <v>0</v>
      </c>
      <c r="I182" s="2">
        <f>F182 - G182 - (F182 * H182)</f>
        <v>0</v>
      </c>
    </row>
    <row r="183" spans="1:9">
      <c r="A183" t="s">
        <v>190</v>
      </c>
      <c r="B183">
        <v>3.9</v>
      </c>
      <c r="C183">
        <v>0</v>
      </c>
      <c r="D183">
        <f>VLOOKUP(A183, Employees!A:I, 7, FALSE)</f>
        <v>0</v>
      </c>
      <c r="E183" s="2">
        <f>VLOOKUP(A183, Employees!A:I, 9, FALSE)</f>
        <v>0</v>
      </c>
      <c r="F183" s="2">
        <f>E183 + (E183*(B183/5)*0.1) + (C183*45)</f>
        <v>0</v>
      </c>
      <c r="G183" s="2">
        <f>VLOOKUP(D183, Benefits!A:C, 2, FALSE)</f>
        <v>0</v>
      </c>
      <c r="H183" s="3">
        <f>VLOOKUP(F183, Tax_Brackets!A:D, 4, TRUE)</f>
        <v>0</v>
      </c>
      <c r="I183" s="2">
        <f>F183 - G183 - (F183 * H183)</f>
        <v>0</v>
      </c>
    </row>
    <row r="184" spans="1:9">
      <c r="A184" t="s">
        <v>191</v>
      </c>
      <c r="B184">
        <v>1.5</v>
      </c>
      <c r="C184">
        <v>3</v>
      </c>
      <c r="D184">
        <f>VLOOKUP(A184, Employees!A:I, 7, FALSE)</f>
        <v>0</v>
      </c>
      <c r="E184" s="2">
        <f>VLOOKUP(A184, Employees!A:I, 9, FALSE)</f>
        <v>0</v>
      </c>
      <c r="F184" s="2">
        <f>E184 + (E184*(B184/5)*0.1) + (C184*45)</f>
        <v>0</v>
      </c>
      <c r="G184" s="2">
        <f>VLOOKUP(D184, Benefits!A:C, 2, FALSE)</f>
        <v>0</v>
      </c>
      <c r="H184" s="3">
        <f>VLOOKUP(F184, Tax_Brackets!A:D, 4, TRUE)</f>
        <v>0</v>
      </c>
      <c r="I184" s="2">
        <f>F184 - G184 - (F184 * H184)</f>
        <v>0</v>
      </c>
    </row>
    <row r="185" spans="1:9">
      <c r="A185" t="s">
        <v>192</v>
      </c>
      <c r="B185">
        <v>2.8</v>
      </c>
      <c r="C185">
        <v>0</v>
      </c>
      <c r="D185">
        <f>VLOOKUP(A185, Employees!A:I, 7, FALSE)</f>
        <v>0</v>
      </c>
      <c r="E185" s="2">
        <f>VLOOKUP(A185, Employees!A:I, 9, FALSE)</f>
        <v>0</v>
      </c>
      <c r="F185" s="2">
        <f>E185 + (E185*(B185/5)*0.1) + (C185*45)</f>
        <v>0</v>
      </c>
      <c r="G185" s="2">
        <f>VLOOKUP(D185, Benefits!A:C, 2, FALSE)</f>
        <v>0</v>
      </c>
      <c r="H185" s="3">
        <f>VLOOKUP(F185, Tax_Brackets!A:D, 4, TRUE)</f>
        <v>0</v>
      </c>
      <c r="I185" s="2">
        <f>F185 - G185 - (F185 * H185)</f>
        <v>0</v>
      </c>
    </row>
    <row r="186" spans="1:9">
      <c r="A186" t="s">
        <v>193</v>
      </c>
      <c r="B186">
        <v>2.8</v>
      </c>
      <c r="C186">
        <v>0</v>
      </c>
      <c r="D186">
        <f>VLOOKUP(A186, Employees!A:I, 7, FALSE)</f>
        <v>0</v>
      </c>
      <c r="E186" s="2">
        <f>VLOOKUP(A186, Employees!A:I, 9, FALSE)</f>
        <v>0</v>
      </c>
      <c r="F186" s="2">
        <f>E186 + (E186*(B186/5)*0.1) + (C186*45)</f>
        <v>0</v>
      </c>
      <c r="G186" s="2">
        <f>VLOOKUP(D186, Benefits!A:C, 2, FALSE)</f>
        <v>0</v>
      </c>
      <c r="H186" s="3">
        <f>VLOOKUP(F186, Tax_Brackets!A:D, 4, TRUE)</f>
        <v>0</v>
      </c>
      <c r="I186" s="2">
        <f>F186 - G186 - (F186 * H186)</f>
        <v>0</v>
      </c>
    </row>
    <row r="187" spans="1:9">
      <c r="A187" t="s">
        <v>194</v>
      </c>
      <c r="B187">
        <v>5</v>
      </c>
      <c r="C187">
        <v>0</v>
      </c>
      <c r="D187">
        <f>VLOOKUP(A187, Employees!A:I, 7, FALSE)</f>
        <v>0</v>
      </c>
      <c r="E187" s="2">
        <f>VLOOKUP(A187, Employees!A:I, 9, FALSE)</f>
        <v>0</v>
      </c>
      <c r="F187" s="2">
        <f>E187 + (E187*(B187/5)*0.1) + (C187*45)</f>
        <v>0</v>
      </c>
      <c r="G187" s="2">
        <f>VLOOKUP(D187, Benefits!A:C, 2, FALSE)</f>
        <v>0</v>
      </c>
      <c r="H187" s="3">
        <f>VLOOKUP(F187, Tax_Brackets!A:D, 4, TRUE)</f>
        <v>0</v>
      </c>
      <c r="I187" s="2">
        <f>F187 - G187 - (F187 * H187)</f>
        <v>0</v>
      </c>
    </row>
    <row r="188" spans="1:9">
      <c r="A188" t="s">
        <v>195</v>
      </c>
      <c r="B188">
        <v>3.6</v>
      </c>
      <c r="C188">
        <v>1</v>
      </c>
      <c r="D188">
        <f>VLOOKUP(A188, Employees!A:I, 7, FALSE)</f>
        <v>0</v>
      </c>
      <c r="E188" s="2">
        <f>VLOOKUP(A188, Employees!A:I, 9, FALSE)</f>
        <v>0</v>
      </c>
      <c r="F188" s="2">
        <f>E188 + (E188*(B188/5)*0.1) + (C188*45)</f>
        <v>0</v>
      </c>
      <c r="G188" s="2">
        <f>VLOOKUP(D188, Benefits!A:C, 2, FALSE)</f>
        <v>0</v>
      </c>
      <c r="H188" s="3">
        <f>VLOOKUP(F188, Tax_Brackets!A:D, 4, TRUE)</f>
        <v>0</v>
      </c>
      <c r="I188" s="2">
        <f>F188 - G188 - (F188 * H188)</f>
        <v>0</v>
      </c>
    </row>
    <row r="189" spans="1:9">
      <c r="A189" t="s">
        <v>196</v>
      </c>
      <c r="B189">
        <v>3.4</v>
      </c>
      <c r="C189">
        <v>0</v>
      </c>
      <c r="D189">
        <f>VLOOKUP(A189, Employees!A:I, 7, FALSE)</f>
        <v>0</v>
      </c>
      <c r="E189" s="2">
        <f>VLOOKUP(A189, Employees!A:I, 9, FALSE)</f>
        <v>0</v>
      </c>
      <c r="F189" s="2">
        <f>E189 + (E189*(B189/5)*0.1) + (C189*45)</f>
        <v>0</v>
      </c>
      <c r="G189" s="2">
        <f>VLOOKUP(D189, Benefits!A:C, 2, FALSE)</f>
        <v>0</v>
      </c>
      <c r="H189" s="3">
        <f>VLOOKUP(F189, Tax_Brackets!A:D, 4, TRUE)</f>
        <v>0</v>
      </c>
      <c r="I189" s="2">
        <f>F189 - G189 - (F189 * H189)</f>
        <v>0</v>
      </c>
    </row>
    <row r="190" spans="1:9">
      <c r="A190" t="s">
        <v>197</v>
      </c>
      <c r="B190">
        <v>3.1</v>
      </c>
      <c r="C190">
        <v>10</v>
      </c>
      <c r="D190">
        <f>VLOOKUP(A190, Employees!A:I, 7, FALSE)</f>
        <v>0</v>
      </c>
      <c r="E190" s="2">
        <f>VLOOKUP(A190, Employees!A:I, 9, FALSE)</f>
        <v>0</v>
      </c>
      <c r="F190" s="2">
        <f>E190 + (E190*(B190/5)*0.1) + (C190*45)</f>
        <v>0</v>
      </c>
      <c r="G190" s="2">
        <f>VLOOKUP(D190, Benefits!A:C, 2, FALSE)</f>
        <v>0</v>
      </c>
      <c r="H190" s="3">
        <f>VLOOKUP(F190, Tax_Brackets!A:D, 4, TRUE)</f>
        <v>0</v>
      </c>
      <c r="I190" s="2">
        <f>F190 - G190 - (F190 * H190)</f>
        <v>0</v>
      </c>
    </row>
    <row r="191" spans="1:9">
      <c r="A191" t="s">
        <v>198</v>
      </c>
      <c r="B191">
        <v>2.5</v>
      </c>
      <c r="C191">
        <v>1</v>
      </c>
      <c r="D191">
        <f>VLOOKUP(A191, Employees!A:I, 7, FALSE)</f>
        <v>0</v>
      </c>
      <c r="E191" s="2">
        <f>VLOOKUP(A191, Employees!A:I, 9, FALSE)</f>
        <v>0</v>
      </c>
      <c r="F191" s="2">
        <f>E191 + (E191*(B191/5)*0.1) + (C191*45)</f>
        <v>0</v>
      </c>
      <c r="G191" s="2">
        <f>VLOOKUP(D191, Benefits!A:C, 2, FALSE)</f>
        <v>0</v>
      </c>
      <c r="H191" s="3">
        <f>VLOOKUP(F191, Tax_Brackets!A:D, 4, TRUE)</f>
        <v>0</v>
      </c>
      <c r="I191" s="2">
        <f>F191 - G191 - (F191 * H191)</f>
        <v>0</v>
      </c>
    </row>
    <row r="192" spans="1:9">
      <c r="A192" t="s">
        <v>199</v>
      </c>
      <c r="B192">
        <v>4.5</v>
      </c>
      <c r="C192">
        <v>0</v>
      </c>
      <c r="D192">
        <f>VLOOKUP(A192, Employees!A:I, 7, FALSE)</f>
        <v>0</v>
      </c>
      <c r="E192" s="2">
        <f>VLOOKUP(A192, Employees!A:I, 9, FALSE)</f>
        <v>0</v>
      </c>
      <c r="F192" s="2">
        <f>E192 + (E192*(B192/5)*0.1) + (C192*45)</f>
        <v>0</v>
      </c>
      <c r="G192" s="2">
        <f>VLOOKUP(D192, Benefits!A:C, 2, FALSE)</f>
        <v>0</v>
      </c>
      <c r="H192" s="3">
        <f>VLOOKUP(F192, Tax_Brackets!A:D, 4, TRUE)</f>
        <v>0</v>
      </c>
      <c r="I192" s="2">
        <f>F192 - G192 - (F192 * H192)</f>
        <v>0</v>
      </c>
    </row>
    <row r="193" spans="1:9">
      <c r="A193" t="s">
        <v>200</v>
      </c>
      <c r="B193">
        <v>3.3</v>
      </c>
      <c r="C193">
        <v>1</v>
      </c>
      <c r="D193">
        <f>VLOOKUP(A193, Employees!A:I, 7, FALSE)</f>
        <v>0</v>
      </c>
      <c r="E193" s="2">
        <f>VLOOKUP(A193, Employees!A:I, 9, FALSE)</f>
        <v>0</v>
      </c>
      <c r="F193" s="2">
        <f>E193 + (E193*(B193/5)*0.1) + (C193*45)</f>
        <v>0</v>
      </c>
      <c r="G193" s="2">
        <f>VLOOKUP(D193, Benefits!A:C, 2, FALSE)</f>
        <v>0</v>
      </c>
      <c r="H193" s="3">
        <f>VLOOKUP(F193, Tax_Brackets!A:D, 4, TRUE)</f>
        <v>0</v>
      </c>
      <c r="I193" s="2">
        <f>F193 - G193 - (F193 * H193)</f>
        <v>0</v>
      </c>
    </row>
    <row r="194" spans="1:9">
      <c r="A194" t="s">
        <v>201</v>
      </c>
      <c r="B194">
        <v>2.7</v>
      </c>
      <c r="C194">
        <v>24</v>
      </c>
      <c r="D194">
        <f>VLOOKUP(A194, Employees!A:I, 7, FALSE)</f>
        <v>0</v>
      </c>
      <c r="E194" s="2">
        <f>VLOOKUP(A194, Employees!A:I, 9, FALSE)</f>
        <v>0</v>
      </c>
      <c r="F194" s="2">
        <f>E194 + (E194*(B194/5)*0.1) + (C194*45)</f>
        <v>0</v>
      </c>
      <c r="G194" s="2">
        <f>VLOOKUP(D194, Benefits!A:C, 2, FALSE)</f>
        <v>0</v>
      </c>
      <c r="H194" s="3">
        <f>VLOOKUP(F194, Tax_Brackets!A:D, 4, TRUE)</f>
        <v>0</v>
      </c>
      <c r="I194" s="2">
        <f>F194 - G194 - (F194 * H194)</f>
        <v>0</v>
      </c>
    </row>
    <row r="195" spans="1:9">
      <c r="A195" t="s">
        <v>202</v>
      </c>
      <c r="B195">
        <v>3.7</v>
      </c>
      <c r="C195">
        <v>0</v>
      </c>
      <c r="D195">
        <f>VLOOKUP(A195, Employees!A:I, 7, FALSE)</f>
        <v>0</v>
      </c>
      <c r="E195" s="2">
        <f>VLOOKUP(A195, Employees!A:I, 9, FALSE)</f>
        <v>0</v>
      </c>
      <c r="F195" s="2">
        <f>E195 + (E195*(B195/5)*0.1) + (C195*45)</f>
        <v>0</v>
      </c>
      <c r="G195" s="2">
        <f>VLOOKUP(D195, Benefits!A:C, 2, FALSE)</f>
        <v>0</v>
      </c>
      <c r="H195" s="3">
        <f>VLOOKUP(F195, Tax_Brackets!A:D, 4, TRUE)</f>
        <v>0</v>
      </c>
      <c r="I195" s="2">
        <f>F195 - G195 - (F195 * H195)</f>
        <v>0</v>
      </c>
    </row>
    <row r="196" spans="1:9">
      <c r="A196" t="s">
        <v>203</v>
      </c>
      <c r="B196">
        <v>2.5</v>
      </c>
      <c r="C196">
        <v>12</v>
      </c>
      <c r="D196">
        <f>VLOOKUP(A196, Employees!A:I, 7, FALSE)</f>
        <v>0</v>
      </c>
      <c r="E196" s="2">
        <f>VLOOKUP(A196, Employees!A:I, 9, FALSE)</f>
        <v>0</v>
      </c>
      <c r="F196" s="2">
        <f>E196 + (E196*(B196/5)*0.1) + (C196*45)</f>
        <v>0</v>
      </c>
      <c r="G196" s="2">
        <f>VLOOKUP(D196, Benefits!A:C, 2, FALSE)</f>
        <v>0</v>
      </c>
      <c r="H196" s="3">
        <f>VLOOKUP(F196, Tax_Brackets!A:D, 4, TRUE)</f>
        <v>0</v>
      </c>
      <c r="I196" s="2">
        <f>F196 - G196 - (F196 * H196)</f>
        <v>0</v>
      </c>
    </row>
    <row r="197" spans="1:9">
      <c r="A197" t="s">
        <v>204</v>
      </c>
      <c r="B197">
        <v>4</v>
      </c>
      <c r="C197">
        <v>25</v>
      </c>
      <c r="D197">
        <f>VLOOKUP(A197, Employees!A:I, 7, FALSE)</f>
        <v>0</v>
      </c>
      <c r="E197" s="2">
        <f>VLOOKUP(A197, Employees!A:I, 9, FALSE)</f>
        <v>0</v>
      </c>
      <c r="F197" s="2">
        <f>E197 + (E197*(B197/5)*0.1) + (C197*45)</f>
        <v>0</v>
      </c>
      <c r="G197" s="2">
        <f>VLOOKUP(D197, Benefits!A:C, 2, FALSE)</f>
        <v>0</v>
      </c>
      <c r="H197" s="3">
        <f>VLOOKUP(F197, Tax_Brackets!A:D, 4, TRUE)</f>
        <v>0</v>
      </c>
      <c r="I197" s="2">
        <f>F197 - G197 - (F197 * H197)</f>
        <v>0</v>
      </c>
    </row>
    <row r="198" spans="1:9">
      <c r="A198" t="s">
        <v>205</v>
      </c>
      <c r="B198">
        <v>2.5</v>
      </c>
      <c r="C198">
        <v>0</v>
      </c>
      <c r="D198">
        <f>VLOOKUP(A198, Employees!A:I, 7, FALSE)</f>
        <v>0</v>
      </c>
      <c r="E198" s="2">
        <f>VLOOKUP(A198, Employees!A:I, 9, FALSE)</f>
        <v>0</v>
      </c>
      <c r="F198" s="2">
        <f>E198 + (E198*(B198/5)*0.1) + (C198*45)</f>
        <v>0</v>
      </c>
      <c r="G198" s="2">
        <f>VLOOKUP(D198, Benefits!A:C, 2, FALSE)</f>
        <v>0</v>
      </c>
      <c r="H198" s="3">
        <f>VLOOKUP(F198, Tax_Brackets!A:D, 4, TRUE)</f>
        <v>0</v>
      </c>
      <c r="I198" s="2">
        <f>F198 - G198 - (F198 * H198)</f>
        <v>0</v>
      </c>
    </row>
    <row r="199" spans="1:9">
      <c r="A199" t="s">
        <v>206</v>
      </c>
      <c r="B199">
        <v>3.5</v>
      </c>
      <c r="C199">
        <v>0</v>
      </c>
      <c r="D199">
        <f>VLOOKUP(A199, Employees!A:I, 7, FALSE)</f>
        <v>0</v>
      </c>
      <c r="E199" s="2">
        <f>VLOOKUP(A199, Employees!A:I, 9, FALSE)</f>
        <v>0</v>
      </c>
      <c r="F199" s="2">
        <f>E199 + (E199*(B199/5)*0.1) + (C199*45)</f>
        <v>0</v>
      </c>
      <c r="G199" s="2">
        <f>VLOOKUP(D199, Benefits!A:C, 2, FALSE)</f>
        <v>0</v>
      </c>
      <c r="H199" s="3">
        <f>VLOOKUP(F199, Tax_Brackets!A:D, 4, TRUE)</f>
        <v>0</v>
      </c>
      <c r="I199" s="2">
        <f>F199 - G199 - (F199 * H199)</f>
        <v>0</v>
      </c>
    </row>
    <row r="200" spans="1:9">
      <c r="A200" t="s">
        <v>207</v>
      </c>
      <c r="B200">
        <v>3.8</v>
      </c>
      <c r="C200">
        <v>10</v>
      </c>
      <c r="D200">
        <f>VLOOKUP(A200, Employees!A:I, 7, FALSE)</f>
        <v>0</v>
      </c>
      <c r="E200" s="2">
        <f>VLOOKUP(A200, Employees!A:I, 9, FALSE)</f>
        <v>0</v>
      </c>
      <c r="F200" s="2">
        <f>E200 + (E200*(B200/5)*0.1) + (C200*45)</f>
        <v>0</v>
      </c>
      <c r="G200" s="2">
        <f>VLOOKUP(D200, Benefits!A:C, 2, FALSE)</f>
        <v>0</v>
      </c>
      <c r="H200" s="3">
        <f>VLOOKUP(F200, Tax_Brackets!A:D, 4, TRUE)</f>
        <v>0</v>
      </c>
      <c r="I200" s="2">
        <f>F200 - G200 - (F200 * H200)</f>
        <v>0</v>
      </c>
    </row>
    <row r="201" spans="1:9">
      <c r="A201" t="s">
        <v>208</v>
      </c>
      <c r="B201">
        <v>2.6</v>
      </c>
      <c r="C201">
        <v>0</v>
      </c>
      <c r="D201">
        <f>VLOOKUP(A201, Employees!A:I, 7, FALSE)</f>
        <v>0</v>
      </c>
      <c r="E201" s="2">
        <f>VLOOKUP(A201, Employees!A:I, 9, FALSE)</f>
        <v>0</v>
      </c>
      <c r="F201" s="2">
        <f>E201 + (E201*(B201/5)*0.1) + (C201*45)</f>
        <v>0</v>
      </c>
      <c r="G201" s="2">
        <f>VLOOKUP(D201, Benefits!A:C, 2, FALSE)</f>
        <v>0</v>
      </c>
      <c r="H201" s="3">
        <f>VLOOKUP(F201, Tax_Brackets!A:D, 4, TRUE)</f>
        <v>0</v>
      </c>
      <c r="I201" s="2">
        <f>F201 - G201 - (F201 * H201)</f>
        <v>0</v>
      </c>
    </row>
    <row r="202" spans="1:9">
      <c r="A202" t="s">
        <v>209</v>
      </c>
      <c r="B202">
        <v>4</v>
      </c>
      <c r="C202">
        <v>0</v>
      </c>
      <c r="D202">
        <f>VLOOKUP(A202, Employees!A:I, 7, FALSE)</f>
        <v>0</v>
      </c>
      <c r="E202" s="2">
        <f>VLOOKUP(A202, Employees!A:I, 9, FALSE)</f>
        <v>0</v>
      </c>
      <c r="F202" s="2">
        <f>E202 + (E202*(B202/5)*0.1) + (C202*45)</f>
        <v>0</v>
      </c>
      <c r="G202" s="2">
        <f>VLOOKUP(D202, Benefits!A:C, 2, FALSE)</f>
        <v>0</v>
      </c>
      <c r="H202" s="3">
        <f>VLOOKUP(F202, Tax_Brackets!A:D, 4, TRUE)</f>
        <v>0</v>
      </c>
      <c r="I202" s="2">
        <f>F202 - G202 - (F202 * H202)</f>
        <v>0</v>
      </c>
    </row>
    <row r="203" spans="1:9">
      <c r="A203" t="s">
        <v>210</v>
      </c>
      <c r="B203">
        <v>2.9</v>
      </c>
      <c r="C203">
        <v>2</v>
      </c>
      <c r="D203">
        <f>VLOOKUP(A203, Employees!A:I, 7, FALSE)</f>
        <v>0</v>
      </c>
      <c r="E203" s="2">
        <f>VLOOKUP(A203, Employees!A:I, 9, FALSE)</f>
        <v>0</v>
      </c>
      <c r="F203" s="2">
        <f>E203 + (E203*(B203/5)*0.1) + (C203*45)</f>
        <v>0</v>
      </c>
      <c r="G203" s="2">
        <f>VLOOKUP(D203, Benefits!A:C, 2, FALSE)</f>
        <v>0</v>
      </c>
      <c r="H203" s="3">
        <f>VLOOKUP(F203, Tax_Brackets!A:D, 4, TRUE)</f>
        <v>0</v>
      </c>
      <c r="I203" s="2">
        <f>F203 - G203 - (F203 * H203)</f>
        <v>0</v>
      </c>
    </row>
    <row r="204" spans="1:9">
      <c r="A204" t="s">
        <v>211</v>
      </c>
      <c r="B204">
        <v>3.6</v>
      </c>
      <c r="C204">
        <v>0</v>
      </c>
      <c r="D204">
        <f>VLOOKUP(A204, Employees!A:I, 7, FALSE)</f>
        <v>0</v>
      </c>
      <c r="E204" s="2">
        <f>VLOOKUP(A204, Employees!A:I, 9, FALSE)</f>
        <v>0</v>
      </c>
      <c r="F204" s="2">
        <f>E204 + (E204*(B204/5)*0.1) + (C204*45)</f>
        <v>0</v>
      </c>
      <c r="G204" s="2">
        <f>VLOOKUP(D204, Benefits!A:C, 2, FALSE)</f>
        <v>0</v>
      </c>
      <c r="H204" s="3">
        <f>VLOOKUP(F204, Tax_Brackets!A:D, 4, TRUE)</f>
        <v>0</v>
      </c>
      <c r="I204" s="2">
        <f>F204 - G204 - (F204 * H204)</f>
        <v>0</v>
      </c>
    </row>
    <row r="205" spans="1:9">
      <c r="A205" t="s">
        <v>212</v>
      </c>
      <c r="B205">
        <v>2.8</v>
      </c>
      <c r="C205">
        <v>0</v>
      </c>
      <c r="D205">
        <f>VLOOKUP(A205, Employees!A:I, 7, FALSE)</f>
        <v>0</v>
      </c>
      <c r="E205" s="2">
        <f>VLOOKUP(A205, Employees!A:I, 9, FALSE)</f>
        <v>0</v>
      </c>
      <c r="F205" s="2">
        <f>E205 + (E205*(B205/5)*0.1) + (C205*45)</f>
        <v>0</v>
      </c>
      <c r="G205" s="2">
        <f>VLOOKUP(D205, Benefits!A:C, 2, FALSE)</f>
        <v>0</v>
      </c>
      <c r="H205" s="3">
        <f>VLOOKUP(F205, Tax_Brackets!A:D, 4, TRUE)</f>
        <v>0</v>
      </c>
      <c r="I205" s="2">
        <f>F205 - G205 - (F205 * H205)</f>
        <v>0</v>
      </c>
    </row>
    <row r="206" spans="1:9">
      <c r="A206" t="s">
        <v>213</v>
      </c>
      <c r="B206">
        <v>3.5</v>
      </c>
      <c r="C206">
        <v>0</v>
      </c>
      <c r="D206">
        <f>VLOOKUP(A206, Employees!A:I, 7, FALSE)</f>
        <v>0</v>
      </c>
      <c r="E206" s="2">
        <f>VLOOKUP(A206, Employees!A:I, 9, FALSE)</f>
        <v>0</v>
      </c>
      <c r="F206" s="2">
        <f>E206 + (E206*(B206/5)*0.1) + (C206*45)</f>
        <v>0</v>
      </c>
      <c r="G206" s="2">
        <f>VLOOKUP(D206, Benefits!A:C, 2, FALSE)</f>
        <v>0</v>
      </c>
      <c r="H206" s="3">
        <f>VLOOKUP(F206, Tax_Brackets!A:D, 4, TRUE)</f>
        <v>0</v>
      </c>
      <c r="I206" s="2">
        <f>F206 - G206 - (F206 * H206)</f>
        <v>0</v>
      </c>
    </row>
    <row r="207" spans="1:9">
      <c r="A207" t="s">
        <v>214</v>
      </c>
      <c r="B207">
        <v>3.2</v>
      </c>
      <c r="C207">
        <v>5</v>
      </c>
      <c r="D207">
        <f>VLOOKUP(A207, Employees!A:I, 7, FALSE)</f>
        <v>0</v>
      </c>
      <c r="E207" s="2">
        <f>VLOOKUP(A207, Employees!A:I, 9, FALSE)</f>
        <v>0</v>
      </c>
      <c r="F207" s="2">
        <f>E207 + (E207*(B207/5)*0.1) + (C207*45)</f>
        <v>0</v>
      </c>
      <c r="G207" s="2">
        <f>VLOOKUP(D207, Benefits!A:C, 2, FALSE)</f>
        <v>0</v>
      </c>
      <c r="H207" s="3">
        <f>VLOOKUP(F207, Tax_Brackets!A:D, 4, TRUE)</f>
        <v>0</v>
      </c>
      <c r="I207" s="2">
        <f>F207 - G207 - (F207 * H207)</f>
        <v>0</v>
      </c>
    </row>
    <row r="208" spans="1:9">
      <c r="A208" t="s">
        <v>215</v>
      </c>
      <c r="B208">
        <v>3.5</v>
      </c>
      <c r="C208">
        <v>0</v>
      </c>
      <c r="D208">
        <f>VLOOKUP(A208, Employees!A:I, 7, FALSE)</f>
        <v>0</v>
      </c>
      <c r="E208" s="2">
        <f>VLOOKUP(A208, Employees!A:I, 9, FALSE)</f>
        <v>0</v>
      </c>
      <c r="F208" s="2">
        <f>E208 + (E208*(B208/5)*0.1) + (C208*45)</f>
        <v>0</v>
      </c>
      <c r="G208" s="2">
        <f>VLOOKUP(D208, Benefits!A:C, 2, FALSE)</f>
        <v>0</v>
      </c>
      <c r="H208" s="3">
        <f>VLOOKUP(F208, Tax_Brackets!A:D, 4, TRUE)</f>
        <v>0</v>
      </c>
      <c r="I208" s="2">
        <f>F208 - G208 - (F208 * H208)</f>
        <v>0</v>
      </c>
    </row>
    <row r="209" spans="1:9">
      <c r="A209" t="s">
        <v>216</v>
      </c>
      <c r="B209">
        <v>3.9</v>
      </c>
      <c r="C209">
        <v>25</v>
      </c>
      <c r="D209">
        <f>VLOOKUP(A209, Employees!A:I, 7, FALSE)</f>
        <v>0</v>
      </c>
      <c r="E209" s="2">
        <f>VLOOKUP(A209, Employees!A:I, 9, FALSE)</f>
        <v>0</v>
      </c>
      <c r="F209" s="2">
        <f>E209 + (E209*(B209/5)*0.1) + (C209*45)</f>
        <v>0</v>
      </c>
      <c r="G209" s="2">
        <f>VLOOKUP(D209, Benefits!A:C, 2, FALSE)</f>
        <v>0</v>
      </c>
      <c r="H209" s="3">
        <f>VLOOKUP(F209, Tax_Brackets!A:D, 4, TRUE)</f>
        <v>0</v>
      </c>
      <c r="I209" s="2">
        <f>F209 - G209 - (F209 * H209)</f>
        <v>0</v>
      </c>
    </row>
    <row r="210" spans="1:9">
      <c r="A210" t="s">
        <v>217</v>
      </c>
      <c r="B210">
        <v>3.5</v>
      </c>
      <c r="C210">
        <v>0</v>
      </c>
      <c r="D210">
        <f>VLOOKUP(A210, Employees!A:I, 7, FALSE)</f>
        <v>0</v>
      </c>
      <c r="E210" s="2">
        <f>VLOOKUP(A210, Employees!A:I, 9, FALSE)</f>
        <v>0</v>
      </c>
      <c r="F210" s="2">
        <f>E210 + (E210*(B210/5)*0.1) + (C210*45)</f>
        <v>0</v>
      </c>
      <c r="G210" s="2">
        <f>VLOOKUP(D210, Benefits!A:C, 2, FALSE)</f>
        <v>0</v>
      </c>
      <c r="H210" s="3">
        <f>VLOOKUP(F210, Tax_Brackets!A:D, 4, TRUE)</f>
        <v>0</v>
      </c>
      <c r="I210" s="2">
        <f>F210 - G210 - (F210 * H210)</f>
        <v>0</v>
      </c>
    </row>
    <row r="211" spans="1:9">
      <c r="A211" t="s">
        <v>218</v>
      </c>
      <c r="B211">
        <v>4.7</v>
      </c>
      <c r="C211">
        <v>9</v>
      </c>
      <c r="D211">
        <f>VLOOKUP(A211, Employees!A:I, 7, FALSE)</f>
        <v>0</v>
      </c>
      <c r="E211" s="2">
        <f>VLOOKUP(A211, Employees!A:I, 9, FALSE)</f>
        <v>0</v>
      </c>
      <c r="F211" s="2">
        <f>E211 + (E211*(B211/5)*0.1) + (C211*45)</f>
        <v>0</v>
      </c>
      <c r="G211" s="2">
        <f>VLOOKUP(D211, Benefits!A:C, 2, FALSE)</f>
        <v>0</v>
      </c>
      <c r="H211" s="3">
        <f>VLOOKUP(F211, Tax_Brackets!A:D, 4, TRUE)</f>
        <v>0</v>
      </c>
      <c r="I211" s="2">
        <f>F211 - G211 - (F211 * H211)</f>
        <v>0</v>
      </c>
    </row>
    <row r="212" spans="1:9">
      <c r="A212" t="s">
        <v>219</v>
      </c>
      <c r="B212">
        <v>3.3</v>
      </c>
      <c r="C212">
        <v>8</v>
      </c>
      <c r="D212">
        <f>VLOOKUP(A212, Employees!A:I, 7, FALSE)</f>
        <v>0</v>
      </c>
      <c r="E212" s="2">
        <f>VLOOKUP(A212, Employees!A:I, 9, FALSE)</f>
        <v>0</v>
      </c>
      <c r="F212" s="2">
        <f>E212 + (E212*(B212/5)*0.1) + (C212*45)</f>
        <v>0</v>
      </c>
      <c r="G212" s="2">
        <f>VLOOKUP(D212, Benefits!A:C, 2, FALSE)</f>
        <v>0</v>
      </c>
      <c r="H212" s="3">
        <f>VLOOKUP(F212, Tax_Brackets!A:D, 4, TRUE)</f>
        <v>0</v>
      </c>
      <c r="I212" s="2">
        <f>F212 - G212 - (F212 * H212)</f>
        <v>0</v>
      </c>
    </row>
    <row r="213" spans="1:9">
      <c r="A213" t="s">
        <v>220</v>
      </c>
      <c r="B213">
        <v>2.4</v>
      </c>
      <c r="C213">
        <v>8</v>
      </c>
      <c r="D213">
        <f>VLOOKUP(A213, Employees!A:I, 7, FALSE)</f>
        <v>0</v>
      </c>
      <c r="E213" s="2">
        <f>VLOOKUP(A213, Employees!A:I, 9, FALSE)</f>
        <v>0</v>
      </c>
      <c r="F213" s="2">
        <f>E213 + (E213*(B213/5)*0.1) + (C213*45)</f>
        <v>0</v>
      </c>
      <c r="G213" s="2">
        <f>VLOOKUP(D213, Benefits!A:C, 2, FALSE)</f>
        <v>0</v>
      </c>
      <c r="H213" s="3">
        <f>VLOOKUP(F213, Tax_Brackets!A:D, 4, TRUE)</f>
        <v>0</v>
      </c>
      <c r="I213" s="2">
        <f>F213 - G213 - (F213 * H213)</f>
        <v>0</v>
      </c>
    </row>
    <row r="214" spans="1:9">
      <c r="A214" t="s">
        <v>221</v>
      </c>
      <c r="B214">
        <v>2.3</v>
      </c>
      <c r="C214">
        <v>0</v>
      </c>
      <c r="D214">
        <f>VLOOKUP(A214, Employees!A:I, 7, FALSE)</f>
        <v>0</v>
      </c>
      <c r="E214" s="2">
        <f>VLOOKUP(A214, Employees!A:I, 9, FALSE)</f>
        <v>0</v>
      </c>
      <c r="F214" s="2">
        <f>E214 + (E214*(B214/5)*0.1) + (C214*45)</f>
        <v>0</v>
      </c>
      <c r="G214" s="2">
        <f>VLOOKUP(D214, Benefits!A:C, 2, FALSE)</f>
        <v>0</v>
      </c>
      <c r="H214" s="3">
        <f>VLOOKUP(F214, Tax_Brackets!A:D, 4, TRUE)</f>
        <v>0</v>
      </c>
      <c r="I214" s="2">
        <f>F214 - G214 - (F214 * H214)</f>
        <v>0</v>
      </c>
    </row>
    <row r="215" spans="1:9">
      <c r="A215" t="s">
        <v>222</v>
      </c>
      <c r="B215">
        <v>3.4</v>
      </c>
      <c r="C215">
        <v>11</v>
      </c>
      <c r="D215">
        <f>VLOOKUP(A215, Employees!A:I, 7, FALSE)</f>
        <v>0</v>
      </c>
      <c r="E215" s="2">
        <f>VLOOKUP(A215, Employees!A:I, 9, FALSE)</f>
        <v>0</v>
      </c>
      <c r="F215" s="2">
        <f>E215 + (E215*(B215/5)*0.1) + (C215*45)</f>
        <v>0</v>
      </c>
      <c r="G215" s="2">
        <f>VLOOKUP(D215, Benefits!A:C, 2, FALSE)</f>
        <v>0</v>
      </c>
      <c r="H215" s="3">
        <f>VLOOKUP(F215, Tax_Brackets!A:D, 4, TRUE)</f>
        <v>0</v>
      </c>
      <c r="I215" s="2">
        <f>F215 - G215 - (F215 * H215)</f>
        <v>0</v>
      </c>
    </row>
    <row r="216" spans="1:9">
      <c r="A216" t="s">
        <v>223</v>
      </c>
      <c r="B216">
        <v>3.1</v>
      </c>
      <c r="C216">
        <v>21</v>
      </c>
      <c r="D216">
        <f>VLOOKUP(A216, Employees!A:I, 7, FALSE)</f>
        <v>0</v>
      </c>
      <c r="E216" s="2">
        <f>VLOOKUP(A216, Employees!A:I, 9, FALSE)</f>
        <v>0</v>
      </c>
      <c r="F216" s="2">
        <f>E216 + (E216*(B216/5)*0.1) + (C216*45)</f>
        <v>0</v>
      </c>
      <c r="G216" s="2">
        <f>VLOOKUP(D216, Benefits!A:C, 2, FALSE)</f>
        <v>0</v>
      </c>
      <c r="H216" s="3">
        <f>VLOOKUP(F216, Tax_Brackets!A:D, 4, TRUE)</f>
        <v>0</v>
      </c>
      <c r="I216" s="2">
        <f>F216 - G216 - (F216 * H216)</f>
        <v>0</v>
      </c>
    </row>
    <row r="217" spans="1:9">
      <c r="A217" t="s">
        <v>224</v>
      </c>
      <c r="B217">
        <v>3</v>
      </c>
      <c r="C217">
        <v>0</v>
      </c>
      <c r="D217">
        <f>VLOOKUP(A217, Employees!A:I, 7, FALSE)</f>
        <v>0</v>
      </c>
      <c r="E217" s="2">
        <f>VLOOKUP(A217, Employees!A:I, 9, FALSE)</f>
        <v>0</v>
      </c>
      <c r="F217" s="2">
        <f>E217 + (E217*(B217/5)*0.1) + (C217*45)</f>
        <v>0</v>
      </c>
      <c r="G217" s="2">
        <f>VLOOKUP(D217, Benefits!A:C, 2, FALSE)</f>
        <v>0</v>
      </c>
      <c r="H217" s="3">
        <f>VLOOKUP(F217, Tax_Brackets!A:D, 4, TRUE)</f>
        <v>0</v>
      </c>
      <c r="I217" s="2">
        <f>F217 - G217 - (F217 * H217)</f>
        <v>0</v>
      </c>
    </row>
    <row r="218" spans="1:9">
      <c r="A218" t="s">
        <v>225</v>
      </c>
      <c r="B218">
        <v>3</v>
      </c>
      <c r="C218">
        <v>4</v>
      </c>
      <c r="D218">
        <f>VLOOKUP(A218, Employees!A:I, 7, FALSE)</f>
        <v>0</v>
      </c>
      <c r="E218" s="2">
        <f>VLOOKUP(A218, Employees!A:I, 9, FALSE)</f>
        <v>0</v>
      </c>
      <c r="F218" s="2">
        <f>E218 + (E218*(B218/5)*0.1) + (C218*45)</f>
        <v>0</v>
      </c>
      <c r="G218" s="2">
        <f>VLOOKUP(D218, Benefits!A:C, 2, FALSE)</f>
        <v>0</v>
      </c>
      <c r="H218" s="3">
        <f>VLOOKUP(F218, Tax_Brackets!A:D, 4, TRUE)</f>
        <v>0</v>
      </c>
      <c r="I218" s="2">
        <f>F218 - G218 - (F218 * H218)</f>
        <v>0</v>
      </c>
    </row>
    <row r="219" spans="1:9">
      <c r="A219" t="s">
        <v>226</v>
      </c>
      <c r="B219">
        <v>2.8</v>
      </c>
      <c r="C219">
        <v>18</v>
      </c>
      <c r="D219">
        <f>VLOOKUP(A219, Employees!A:I, 7, FALSE)</f>
        <v>0</v>
      </c>
      <c r="E219" s="2">
        <f>VLOOKUP(A219, Employees!A:I, 9, FALSE)</f>
        <v>0</v>
      </c>
      <c r="F219" s="2">
        <f>E219 + (E219*(B219/5)*0.1) + (C219*45)</f>
        <v>0</v>
      </c>
      <c r="G219" s="2">
        <f>VLOOKUP(D219, Benefits!A:C, 2, FALSE)</f>
        <v>0</v>
      </c>
      <c r="H219" s="3">
        <f>VLOOKUP(F219, Tax_Brackets!A:D, 4, TRUE)</f>
        <v>0</v>
      </c>
      <c r="I219" s="2">
        <f>F219 - G219 - (F219 * H219)</f>
        <v>0</v>
      </c>
    </row>
    <row r="220" spans="1:9">
      <c r="A220" t="s">
        <v>227</v>
      </c>
      <c r="B220">
        <v>2.6</v>
      </c>
      <c r="C220">
        <v>0</v>
      </c>
      <c r="D220">
        <f>VLOOKUP(A220, Employees!A:I, 7, FALSE)</f>
        <v>0</v>
      </c>
      <c r="E220" s="2">
        <f>VLOOKUP(A220, Employees!A:I, 9, FALSE)</f>
        <v>0</v>
      </c>
      <c r="F220" s="2">
        <f>E220 + (E220*(B220/5)*0.1) + (C220*45)</f>
        <v>0</v>
      </c>
      <c r="G220" s="2">
        <f>VLOOKUP(D220, Benefits!A:C, 2, FALSE)</f>
        <v>0</v>
      </c>
      <c r="H220" s="3">
        <f>VLOOKUP(F220, Tax_Brackets!A:D, 4, TRUE)</f>
        <v>0</v>
      </c>
      <c r="I220" s="2">
        <f>F220 - G220 - (F220 * H220)</f>
        <v>0</v>
      </c>
    </row>
    <row r="221" spans="1:9">
      <c r="A221" t="s">
        <v>228</v>
      </c>
      <c r="B221">
        <v>4.3</v>
      </c>
      <c r="C221">
        <v>0</v>
      </c>
      <c r="D221">
        <f>VLOOKUP(A221, Employees!A:I, 7, FALSE)</f>
        <v>0</v>
      </c>
      <c r="E221" s="2">
        <f>VLOOKUP(A221, Employees!A:I, 9, FALSE)</f>
        <v>0</v>
      </c>
      <c r="F221" s="2">
        <f>E221 + (E221*(B221/5)*0.1) + (C221*45)</f>
        <v>0</v>
      </c>
      <c r="G221" s="2">
        <f>VLOOKUP(D221, Benefits!A:C, 2, FALSE)</f>
        <v>0</v>
      </c>
      <c r="H221" s="3">
        <f>VLOOKUP(F221, Tax_Brackets!A:D, 4, TRUE)</f>
        <v>0</v>
      </c>
      <c r="I221" s="2">
        <f>F221 - G221 - (F221 * H221)</f>
        <v>0</v>
      </c>
    </row>
    <row r="222" spans="1:9">
      <c r="A222" t="s">
        <v>229</v>
      </c>
      <c r="B222">
        <v>3.5</v>
      </c>
      <c r="C222">
        <v>0</v>
      </c>
      <c r="D222">
        <f>VLOOKUP(A222, Employees!A:I, 7, FALSE)</f>
        <v>0</v>
      </c>
      <c r="E222" s="2">
        <f>VLOOKUP(A222, Employees!A:I, 9, FALSE)</f>
        <v>0</v>
      </c>
      <c r="F222" s="2">
        <f>E222 + (E222*(B222/5)*0.1) + (C222*45)</f>
        <v>0</v>
      </c>
      <c r="G222" s="2">
        <f>VLOOKUP(D222, Benefits!A:C, 2, FALSE)</f>
        <v>0</v>
      </c>
      <c r="H222" s="3">
        <f>VLOOKUP(F222, Tax_Brackets!A:D, 4, TRUE)</f>
        <v>0</v>
      </c>
      <c r="I222" s="2">
        <f>F222 - G222 - (F222 * H222)</f>
        <v>0</v>
      </c>
    </row>
    <row r="223" spans="1:9">
      <c r="A223" t="s">
        <v>230</v>
      </c>
      <c r="B223">
        <v>3.7</v>
      </c>
      <c r="C223">
        <v>0</v>
      </c>
      <c r="D223">
        <f>VLOOKUP(A223, Employees!A:I, 7, FALSE)</f>
        <v>0</v>
      </c>
      <c r="E223" s="2">
        <f>VLOOKUP(A223, Employees!A:I, 9, FALSE)</f>
        <v>0</v>
      </c>
      <c r="F223" s="2">
        <f>E223 + (E223*(B223/5)*0.1) + (C223*45)</f>
        <v>0</v>
      </c>
      <c r="G223" s="2">
        <f>VLOOKUP(D223, Benefits!A:C, 2, FALSE)</f>
        <v>0</v>
      </c>
      <c r="H223" s="3">
        <f>VLOOKUP(F223, Tax_Brackets!A:D, 4, TRUE)</f>
        <v>0</v>
      </c>
      <c r="I223" s="2">
        <f>F223 - G223 - (F223 * H223)</f>
        <v>0</v>
      </c>
    </row>
    <row r="224" spans="1:9">
      <c r="A224" t="s">
        <v>231</v>
      </c>
      <c r="B224">
        <v>5</v>
      </c>
      <c r="C224">
        <v>0</v>
      </c>
      <c r="D224">
        <f>VLOOKUP(A224, Employees!A:I, 7, FALSE)</f>
        <v>0</v>
      </c>
      <c r="E224" s="2">
        <f>VLOOKUP(A224, Employees!A:I, 9, FALSE)</f>
        <v>0</v>
      </c>
      <c r="F224" s="2">
        <f>E224 + (E224*(B224/5)*0.1) + (C224*45)</f>
        <v>0</v>
      </c>
      <c r="G224" s="2">
        <f>VLOOKUP(D224, Benefits!A:C, 2, FALSE)</f>
        <v>0</v>
      </c>
      <c r="H224" s="3">
        <f>VLOOKUP(F224, Tax_Brackets!A:D, 4, TRUE)</f>
        <v>0</v>
      </c>
      <c r="I224" s="2">
        <f>F224 - G224 - (F224 * H224)</f>
        <v>0</v>
      </c>
    </row>
    <row r="225" spans="1:9">
      <c r="A225" t="s">
        <v>232</v>
      </c>
      <c r="B225">
        <v>2.7</v>
      </c>
      <c r="C225">
        <v>2</v>
      </c>
      <c r="D225">
        <f>VLOOKUP(A225, Employees!A:I, 7, FALSE)</f>
        <v>0</v>
      </c>
      <c r="E225" s="2">
        <f>VLOOKUP(A225, Employees!A:I, 9, FALSE)</f>
        <v>0</v>
      </c>
      <c r="F225" s="2">
        <f>E225 + (E225*(B225/5)*0.1) + (C225*45)</f>
        <v>0</v>
      </c>
      <c r="G225" s="2">
        <f>VLOOKUP(D225, Benefits!A:C, 2, FALSE)</f>
        <v>0</v>
      </c>
      <c r="H225" s="3">
        <f>VLOOKUP(F225, Tax_Brackets!A:D, 4, TRUE)</f>
        <v>0</v>
      </c>
      <c r="I225" s="2">
        <f>F225 - G225 - (F225 * H225)</f>
        <v>0</v>
      </c>
    </row>
    <row r="226" spans="1:9">
      <c r="A226" t="s">
        <v>233</v>
      </c>
      <c r="B226">
        <v>4.7</v>
      </c>
      <c r="C226">
        <v>10</v>
      </c>
      <c r="D226">
        <f>VLOOKUP(A226, Employees!A:I, 7, FALSE)</f>
        <v>0</v>
      </c>
      <c r="E226" s="2">
        <f>VLOOKUP(A226, Employees!A:I, 9, FALSE)</f>
        <v>0</v>
      </c>
      <c r="F226" s="2">
        <f>E226 + (E226*(B226/5)*0.1) + (C226*45)</f>
        <v>0</v>
      </c>
      <c r="G226" s="2">
        <f>VLOOKUP(D226, Benefits!A:C, 2, FALSE)</f>
        <v>0</v>
      </c>
      <c r="H226" s="3">
        <f>VLOOKUP(F226, Tax_Brackets!A:D, 4, TRUE)</f>
        <v>0</v>
      </c>
      <c r="I226" s="2">
        <f>F226 - G226 - (F226 * H226)</f>
        <v>0</v>
      </c>
    </row>
    <row r="227" spans="1:9">
      <c r="A227" t="s">
        <v>234</v>
      </c>
      <c r="B227">
        <v>3.6</v>
      </c>
      <c r="C227">
        <v>14</v>
      </c>
      <c r="D227">
        <f>VLOOKUP(A227, Employees!A:I, 7, FALSE)</f>
        <v>0</v>
      </c>
      <c r="E227" s="2">
        <f>VLOOKUP(A227, Employees!A:I, 9, FALSE)</f>
        <v>0</v>
      </c>
      <c r="F227" s="2">
        <f>E227 + (E227*(B227/5)*0.1) + (C227*45)</f>
        <v>0</v>
      </c>
      <c r="G227" s="2">
        <f>VLOOKUP(D227, Benefits!A:C, 2, FALSE)</f>
        <v>0</v>
      </c>
      <c r="H227" s="3">
        <f>VLOOKUP(F227, Tax_Brackets!A:D, 4, TRUE)</f>
        <v>0</v>
      </c>
      <c r="I227" s="2">
        <f>F227 - G227 - (F227 * H227)</f>
        <v>0</v>
      </c>
    </row>
    <row r="228" spans="1:9">
      <c r="A228" t="s">
        <v>235</v>
      </c>
      <c r="B228">
        <v>3.7</v>
      </c>
      <c r="C228">
        <v>0</v>
      </c>
      <c r="D228">
        <f>VLOOKUP(A228, Employees!A:I, 7, FALSE)</f>
        <v>0</v>
      </c>
      <c r="E228" s="2">
        <f>VLOOKUP(A228, Employees!A:I, 9, FALSE)</f>
        <v>0</v>
      </c>
      <c r="F228" s="2">
        <f>E228 + (E228*(B228/5)*0.1) + (C228*45)</f>
        <v>0</v>
      </c>
      <c r="G228" s="2">
        <f>VLOOKUP(D228, Benefits!A:C, 2, FALSE)</f>
        <v>0</v>
      </c>
      <c r="H228" s="3">
        <f>VLOOKUP(F228, Tax_Brackets!A:D, 4, TRUE)</f>
        <v>0</v>
      </c>
      <c r="I228" s="2">
        <f>F228 - G228 - (F228 * H228)</f>
        <v>0</v>
      </c>
    </row>
    <row r="229" spans="1:9">
      <c r="A229" t="s">
        <v>236</v>
      </c>
      <c r="B229">
        <v>3.9</v>
      </c>
      <c r="C229">
        <v>0</v>
      </c>
      <c r="D229">
        <f>VLOOKUP(A229, Employees!A:I, 7, FALSE)</f>
        <v>0</v>
      </c>
      <c r="E229" s="2">
        <f>VLOOKUP(A229, Employees!A:I, 9, FALSE)</f>
        <v>0</v>
      </c>
      <c r="F229" s="2">
        <f>E229 + (E229*(B229/5)*0.1) + (C229*45)</f>
        <v>0</v>
      </c>
      <c r="G229" s="2">
        <f>VLOOKUP(D229, Benefits!A:C, 2, FALSE)</f>
        <v>0</v>
      </c>
      <c r="H229" s="3">
        <f>VLOOKUP(F229, Tax_Brackets!A:D, 4, TRUE)</f>
        <v>0</v>
      </c>
      <c r="I229" s="2">
        <f>F229 - G229 - (F229 * H229)</f>
        <v>0</v>
      </c>
    </row>
    <row r="230" spans="1:9">
      <c r="A230" t="s">
        <v>237</v>
      </c>
      <c r="B230">
        <v>4.8</v>
      </c>
      <c r="C230">
        <v>0</v>
      </c>
      <c r="D230">
        <f>VLOOKUP(A230, Employees!A:I, 7, FALSE)</f>
        <v>0</v>
      </c>
      <c r="E230" s="2">
        <f>VLOOKUP(A230, Employees!A:I, 9, FALSE)</f>
        <v>0</v>
      </c>
      <c r="F230" s="2">
        <f>E230 + (E230*(B230/5)*0.1) + (C230*45)</f>
        <v>0</v>
      </c>
      <c r="G230" s="2">
        <f>VLOOKUP(D230, Benefits!A:C, 2, FALSE)</f>
        <v>0</v>
      </c>
      <c r="H230" s="3">
        <f>VLOOKUP(F230, Tax_Brackets!A:D, 4, TRUE)</f>
        <v>0</v>
      </c>
      <c r="I230" s="2">
        <f>F230 - G230 - (F230 * H230)</f>
        <v>0</v>
      </c>
    </row>
    <row r="231" spans="1:9">
      <c r="A231" t="s">
        <v>238</v>
      </c>
      <c r="B231">
        <v>2.3</v>
      </c>
      <c r="C231">
        <v>5</v>
      </c>
      <c r="D231">
        <f>VLOOKUP(A231, Employees!A:I, 7, FALSE)</f>
        <v>0</v>
      </c>
      <c r="E231" s="2">
        <f>VLOOKUP(A231, Employees!A:I, 9, FALSE)</f>
        <v>0</v>
      </c>
      <c r="F231" s="2">
        <f>E231 + (E231*(B231/5)*0.1) + (C231*45)</f>
        <v>0</v>
      </c>
      <c r="G231" s="2">
        <f>VLOOKUP(D231, Benefits!A:C, 2, FALSE)</f>
        <v>0</v>
      </c>
      <c r="H231" s="3">
        <f>VLOOKUP(F231, Tax_Brackets!A:D, 4, TRUE)</f>
        <v>0</v>
      </c>
      <c r="I231" s="2">
        <f>F231 - G231 - (F231 * H231)</f>
        <v>0</v>
      </c>
    </row>
    <row r="232" spans="1:9">
      <c r="A232" t="s">
        <v>239</v>
      </c>
      <c r="B232">
        <v>3.6</v>
      </c>
      <c r="C232">
        <v>0</v>
      </c>
      <c r="D232">
        <f>VLOOKUP(A232, Employees!A:I, 7, FALSE)</f>
        <v>0</v>
      </c>
      <c r="E232" s="2">
        <f>VLOOKUP(A232, Employees!A:I, 9, FALSE)</f>
        <v>0</v>
      </c>
      <c r="F232" s="2">
        <f>E232 + (E232*(B232/5)*0.1) + (C232*45)</f>
        <v>0</v>
      </c>
      <c r="G232" s="2">
        <f>VLOOKUP(D232, Benefits!A:C, 2, FALSE)</f>
        <v>0</v>
      </c>
      <c r="H232" s="3">
        <f>VLOOKUP(F232, Tax_Brackets!A:D, 4, TRUE)</f>
        <v>0</v>
      </c>
      <c r="I232" s="2">
        <f>F232 - G232 - (F232 * H232)</f>
        <v>0</v>
      </c>
    </row>
    <row r="233" spans="1:9">
      <c r="A233" t="s">
        <v>240</v>
      </c>
      <c r="B233">
        <v>3.2</v>
      </c>
      <c r="C233">
        <v>0</v>
      </c>
      <c r="D233">
        <f>VLOOKUP(A233, Employees!A:I, 7, FALSE)</f>
        <v>0</v>
      </c>
      <c r="E233" s="2">
        <f>VLOOKUP(A233, Employees!A:I, 9, FALSE)</f>
        <v>0</v>
      </c>
      <c r="F233" s="2">
        <f>E233 + (E233*(B233/5)*0.1) + (C233*45)</f>
        <v>0</v>
      </c>
      <c r="G233" s="2">
        <f>VLOOKUP(D233, Benefits!A:C, 2, FALSE)</f>
        <v>0</v>
      </c>
      <c r="H233" s="3">
        <f>VLOOKUP(F233, Tax_Brackets!A:D, 4, TRUE)</f>
        <v>0</v>
      </c>
      <c r="I233" s="2">
        <f>F233 - G233 - (F233 * H233)</f>
        <v>0</v>
      </c>
    </row>
    <row r="234" spans="1:9">
      <c r="A234" t="s">
        <v>241</v>
      </c>
      <c r="B234">
        <v>2</v>
      </c>
      <c r="C234">
        <v>21</v>
      </c>
      <c r="D234">
        <f>VLOOKUP(A234, Employees!A:I, 7, FALSE)</f>
        <v>0</v>
      </c>
      <c r="E234" s="2">
        <f>VLOOKUP(A234, Employees!A:I, 9, FALSE)</f>
        <v>0</v>
      </c>
      <c r="F234" s="2">
        <f>E234 + (E234*(B234/5)*0.1) + (C234*45)</f>
        <v>0</v>
      </c>
      <c r="G234" s="2">
        <f>VLOOKUP(D234, Benefits!A:C, 2, FALSE)</f>
        <v>0</v>
      </c>
      <c r="H234" s="3">
        <f>VLOOKUP(F234, Tax_Brackets!A:D, 4, TRUE)</f>
        <v>0</v>
      </c>
      <c r="I234" s="2">
        <f>F234 - G234 - (F234 * H234)</f>
        <v>0</v>
      </c>
    </row>
    <row r="235" spans="1:9">
      <c r="A235" t="s">
        <v>242</v>
      </c>
      <c r="B235">
        <v>3.1</v>
      </c>
      <c r="C235">
        <v>0</v>
      </c>
      <c r="D235">
        <f>VLOOKUP(A235, Employees!A:I, 7, FALSE)</f>
        <v>0</v>
      </c>
      <c r="E235" s="2">
        <f>VLOOKUP(A235, Employees!A:I, 9, FALSE)</f>
        <v>0</v>
      </c>
      <c r="F235" s="2">
        <f>E235 + (E235*(B235/5)*0.1) + (C235*45)</f>
        <v>0</v>
      </c>
      <c r="G235" s="2">
        <f>VLOOKUP(D235, Benefits!A:C, 2, FALSE)</f>
        <v>0</v>
      </c>
      <c r="H235" s="3">
        <f>VLOOKUP(F235, Tax_Brackets!A:D, 4, TRUE)</f>
        <v>0</v>
      </c>
      <c r="I235" s="2">
        <f>F235 - G235 - (F235 * H235)</f>
        <v>0</v>
      </c>
    </row>
    <row r="236" spans="1:9">
      <c r="A236" t="s">
        <v>243</v>
      </c>
      <c r="B236">
        <v>4.3</v>
      </c>
      <c r="C236">
        <v>0</v>
      </c>
      <c r="D236">
        <f>VLOOKUP(A236, Employees!A:I, 7, FALSE)</f>
        <v>0</v>
      </c>
      <c r="E236" s="2">
        <f>VLOOKUP(A236, Employees!A:I, 9, FALSE)</f>
        <v>0</v>
      </c>
      <c r="F236" s="2">
        <f>E236 + (E236*(B236/5)*0.1) + (C236*45)</f>
        <v>0</v>
      </c>
      <c r="G236" s="2">
        <f>VLOOKUP(D236, Benefits!A:C, 2, FALSE)</f>
        <v>0</v>
      </c>
      <c r="H236" s="3">
        <f>VLOOKUP(F236, Tax_Brackets!A:D, 4, TRUE)</f>
        <v>0</v>
      </c>
      <c r="I236" s="2">
        <f>F236 - G236 - (F236 * H236)</f>
        <v>0</v>
      </c>
    </row>
    <row r="237" spans="1:9">
      <c r="A237" t="s">
        <v>244</v>
      </c>
      <c r="B237">
        <v>3.3</v>
      </c>
      <c r="C237">
        <v>11</v>
      </c>
      <c r="D237">
        <f>VLOOKUP(A237, Employees!A:I, 7, FALSE)</f>
        <v>0</v>
      </c>
      <c r="E237" s="2">
        <f>VLOOKUP(A237, Employees!A:I, 9, FALSE)</f>
        <v>0</v>
      </c>
      <c r="F237" s="2">
        <f>E237 + (E237*(B237/5)*0.1) + (C237*45)</f>
        <v>0</v>
      </c>
      <c r="G237" s="2">
        <f>VLOOKUP(D237, Benefits!A:C, 2, FALSE)</f>
        <v>0</v>
      </c>
      <c r="H237" s="3">
        <f>VLOOKUP(F237, Tax_Brackets!A:D, 4, TRUE)</f>
        <v>0</v>
      </c>
      <c r="I237" s="2">
        <f>F237 - G237 - (F237 * H237)</f>
        <v>0</v>
      </c>
    </row>
    <row r="238" spans="1:9">
      <c r="A238" t="s">
        <v>245</v>
      </c>
      <c r="B238">
        <v>2.6</v>
      </c>
      <c r="C238">
        <v>0</v>
      </c>
      <c r="D238">
        <f>VLOOKUP(A238, Employees!A:I, 7, FALSE)</f>
        <v>0</v>
      </c>
      <c r="E238" s="2">
        <f>VLOOKUP(A238, Employees!A:I, 9, FALSE)</f>
        <v>0</v>
      </c>
      <c r="F238" s="2">
        <f>E238 + (E238*(B238/5)*0.1) + (C238*45)</f>
        <v>0</v>
      </c>
      <c r="G238" s="2">
        <f>VLOOKUP(D238, Benefits!A:C, 2, FALSE)</f>
        <v>0</v>
      </c>
      <c r="H238" s="3">
        <f>VLOOKUP(F238, Tax_Brackets!A:D, 4, TRUE)</f>
        <v>0</v>
      </c>
      <c r="I238" s="2">
        <f>F238 - G238 - (F238 * H238)</f>
        <v>0</v>
      </c>
    </row>
    <row r="239" spans="1:9">
      <c r="A239" t="s">
        <v>246</v>
      </c>
      <c r="B239">
        <v>1.9</v>
      </c>
      <c r="C239">
        <v>10</v>
      </c>
      <c r="D239">
        <f>VLOOKUP(A239, Employees!A:I, 7, FALSE)</f>
        <v>0</v>
      </c>
      <c r="E239" s="2">
        <f>VLOOKUP(A239, Employees!A:I, 9, FALSE)</f>
        <v>0</v>
      </c>
      <c r="F239" s="2">
        <f>E239 + (E239*(B239/5)*0.1) + (C239*45)</f>
        <v>0</v>
      </c>
      <c r="G239" s="2">
        <f>VLOOKUP(D239, Benefits!A:C, 2, FALSE)</f>
        <v>0</v>
      </c>
      <c r="H239" s="3">
        <f>VLOOKUP(F239, Tax_Brackets!A:D, 4, TRUE)</f>
        <v>0</v>
      </c>
      <c r="I239" s="2">
        <f>F239 - G239 - (F239 * H239)</f>
        <v>0</v>
      </c>
    </row>
    <row r="240" spans="1:9">
      <c r="A240" t="s">
        <v>247</v>
      </c>
      <c r="B240">
        <v>4.8</v>
      </c>
      <c r="C240">
        <v>0</v>
      </c>
      <c r="D240">
        <f>VLOOKUP(A240, Employees!A:I, 7, FALSE)</f>
        <v>0</v>
      </c>
      <c r="E240" s="2">
        <f>VLOOKUP(A240, Employees!A:I, 9, FALSE)</f>
        <v>0</v>
      </c>
      <c r="F240" s="2">
        <f>E240 + (E240*(B240/5)*0.1) + (C240*45)</f>
        <v>0</v>
      </c>
      <c r="G240" s="2">
        <f>VLOOKUP(D240, Benefits!A:C, 2, FALSE)</f>
        <v>0</v>
      </c>
      <c r="H240" s="3">
        <f>VLOOKUP(F240, Tax_Brackets!A:D, 4, TRUE)</f>
        <v>0</v>
      </c>
      <c r="I240" s="2">
        <f>F240 - G240 - (F240 * H240)</f>
        <v>0</v>
      </c>
    </row>
    <row r="241" spans="1:9">
      <c r="A241" t="s">
        <v>248</v>
      </c>
      <c r="B241">
        <v>5</v>
      </c>
      <c r="C241">
        <v>14</v>
      </c>
      <c r="D241">
        <f>VLOOKUP(A241, Employees!A:I, 7, FALSE)</f>
        <v>0</v>
      </c>
      <c r="E241" s="2">
        <f>VLOOKUP(A241, Employees!A:I, 9, FALSE)</f>
        <v>0</v>
      </c>
      <c r="F241" s="2">
        <f>E241 + (E241*(B241/5)*0.1) + (C241*45)</f>
        <v>0</v>
      </c>
      <c r="G241" s="2">
        <f>VLOOKUP(D241, Benefits!A:C, 2, FALSE)</f>
        <v>0</v>
      </c>
      <c r="H241" s="3">
        <f>VLOOKUP(F241, Tax_Brackets!A:D, 4, TRUE)</f>
        <v>0</v>
      </c>
      <c r="I241" s="2">
        <f>F241 - G241 - (F241 * H241)</f>
        <v>0</v>
      </c>
    </row>
    <row r="242" spans="1:9">
      <c r="A242" t="s">
        <v>249</v>
      </c>
      <c r="B242">
        <v>4.1</v>
      </c>
      <c r="C242">
        <v>0</v>
      </c>
      <c r="D242">
        <f>VLOOKUP(A242, Employees!A:I, 7, FALSE)</f>
        <v>0</v>
      </c>
      <c r="E242" s="2">
        <f>VLOOKUP(A242, Employees!A:I, 9, FALSE)</f>
        <v>0</v>
      </c>
      <c r="F242" s="2">
        <f>E242 + (E242*(B242/5)*0.1) + (C242*45)</f>
        <v>0</v>
      </c>
      <c r="G242" s="2">
        <f>VLOOKUP(D242, Benefits!A:C, 2, FALSE)</f>
        <v>0</v>
      </c>
      <c r="H242" s="3">
        <f>VLOOKUP(F242, Tax_Brackets!A:D, 4, TRUE)</f>
        <v>0</v>
      </c>
      <c r="I242" s="2">
        <f>F242 - G242 - (F242 * H242)</f>
        <v>0</v>
      </c>
    </row>
    <row r="243" spans="1:9">
      <c r="A243" t="s">
        <v>250</v>
      </c>
      <c r="B243">
        <v>3.7</v>
      </c>
      <c r="C243">
        <v>0</v>
      </c>
      <c r="D243">
        <f>VLOOKUP(A243, Employees!A:I, 7, FALSE)</f>
        <v>0</v>
      </c>
      <c r="E243" s="2">
        <f>VLOOKUP(A243, Employees!A:I, 9, FALSE)</f>
        <v>0</v>
      </c>
      <c r="F243" s="2">
        <f>E243 + (E243*(B243/5)*0.1) + (C243*45)</f>
        <v>0</v>
      </c>
      <c r="G243" s="2">
        <f>VLOOKUP(D243, Benefits!A:C, 2, FALSE)</f>
        <v>0</v>
      </c>
      <c r="H243" s="3">
        <f>VLOOKUP(F243, Tax_Brackets!A:D, 4, TRUE)</f>
        <v>0</v>
      </c>
      <c r="I243" s="2">
        <f>F243 - G243 - (F243 * H243)</f>
        <v>0</v>
      </c>
    </row>
    <row r="244" spans="1:9">
      <c r="A244" t="s">
        <v>251</v>
      </c>
      <c r="B244">
        <v>2.7</v>
      </c>
      <c r="C244">
        <v>0</v>
      </c>
      <c r="D244">
        <f>VLOOKUP(A244, Employees!A:I, 7, FALSE)</f>
        <v>0</v>
      </c>
      <c r="E244" s="2">
        <f>VLOOKUP(A244, Employees!A:I, 9, FALSE)</f>
        <v>0</v>
      </c>
      <c r="F244" s="2">
        <f>E244 + (E244*(B244/5)*0.1) + (C244*45)</f>
        <v>0</v>
      </c>
      <c r="G244" s="2">
        <f>VLOOKUP(D244, Benefits!A:C, 2, FALSE)</f>
        <v>0</v>
      </c>
      <c r="H244" s="3">
        <f>VLOOKUP(F244, Tax_Brackets!A:D, 4, TRUE)</f>
        <v>0</v>
      </c>
      <c r="I244" s="2">
        <f>F244 - G244 - (F244 * H244)</f>
        <v>0</v>
      </c>
    </row>
    <row r="245" spans="1:9">
      <c r="A245" t="s">
        <v>252</v>
      </c>
      <c r="B245">
        <v>3.6</v>
      </c>
      <c r="C245">
        <v>7</v>
      </c>
      <c r="D245">
        <f>VLOOKUP(A245, Employees!A:I, 7, FALSE)</f>
        <v>0</v>
      </c>
      <c r="E245" s="2">
        <f>VLOOKUP(A245, Employees!A:I, 9, FALSE)</f>
        <v>0</v>
      </c>
      <c r="F245" s="2">
        <f>E245 + (E245*(B245/5)*0.1) + (C245*45)</f>
        <v>0</v>
      </c>
      <c r="G245" s="2">
        <f>VLOOKUP(D245, Benefits!A:C, 2, FALSE)</f>
        <v>0</v>
      </c>
      <c r="H245" s="3">
        <f>VLOOKUP(F245, Tax_Brackets!A:D, 4, TRUE)</f>
        <v>0</v>
      </c>
      <c r="I245" s="2">
        <f>F245 - G245 - (F245 * H245)</f>
        <v>0</v>
      </c>
    </row>
    <row r="246" spans="1:9">
      <c r="A246" t="s">
        <v>253</v>
      </c>
      <c r="B246">
        <v>3.9</v>
      </c>
      <c r="C246">
        <v>0</v>
      </c>
      <c r="D246">
        <f>VLOOKUP(A246, Employees!A:I, 7, FALSE)</f>
        <v>0</v>
      </c>
      <c r="E246" s="2">
        <f>VLOOKUP(A246, Employees!A:I, 9, FALSE)</f>
        <v>0</v>
      </c>
      <c r="F246" s="2">
        <f>E246 + (E246*(B246/5)*0.1) + (C246*45)</f>
        <v>0</v>
      </c>
      <c r="G246" s="2">
        <f>VLOOKUP(D246, Benefits!A:C, 2, FALSE)</f>
        <v>0</v>
      </c>
      <c r="H246" s="3">
        <f>VLOOKUP(F246, Tax_Brackets!A:D, 4, TRUE)</f>
        <v>0</v>
      </c>
      <c r="I246" s="2">
        <f>F246 - G246 - (F246 * H246)</f>
        <v>0</v>
      </c>
    </row>
    <row r="247" spans="1:9">
      <c r="A247" t="s">
        <v>254</v>
      </c>
      <c r="B247">
        <v>3</v>
      </c>
      <c r="C247">
        <v>0</v>
      </c>
      <c r="D247">
        <f>VLOOKUP(A247, Employees!A:I, 7, FALSE)</f>
        <v>0</v>
      </c>
      <c r="E247" s="2">
        <f>VLOOKUP(A247, Employees!A:I, 9, FALSE)</f>
        <v>0</v>
      </c>
      <c r="F247" s="2">
        <f>E247 + (E247*(B247/5)*0.1) + (C247*45)</f>
        <v>0</v>
      </c>
      <c r="G247" s="2">
        <f>VLOOKUP(D247, Benefits!A:C, 2, FALSE)</f>
        <v>0</v>
      </c>
      <c r="H247" s="3">
        <f>VLOOKUP(F247, Tax_Brackets!A:D, 4, TRUE)</f>
        <v>0</v>
      </c>
      <c r="I247" s="2">
        <f>F247 - G247 - (F247 * H247)</f>
        <v>0</v>
      </c>
    </row>
    <row r="248" spans="1:9">
      <c r="A248" t="s">
        <v>255</v>
      </c>
      <c r="B248">
        <v>4.3</v>
      </c>
      <c r="C248">
        <v>0</v>
      </c>
      <c r="D248">
        <f>VLOOKUP(A248, Employees!A:I, 7, FALSE)</f>
        <v>0</v>
      </c>
      <c r="E248" s="2">
        <f>VLOOKUP(A248, Employees!A:I, 9, FALSE)</f>
        <v>0</v>
      </c>
      <c r="F248" s="2">
        <f>E248 + (E248*(B248/5)*0.1) + (C248*45)</f>
        <v>0</v>
      </c>
      <c r="G248" s="2">
        <f>VLOOKUP(D248, Benefits!A:C, 2, FALSE)</f>
        <v>0</v>
      </c>
      <c r="H248" s="3">
        <f>VLOOKUP(F248, Tax_Brackets!A:D, 4, TRUE)</f>
        <v>0</v>
      </c>
      <c r="I248" s="2">
        <f>F248 - G248 - (F248 * H248)</f>
        <v>0</v>
      </c>
    </row>
    <row r="249" spans="1:9">
      <c r="A249" t="s">
        <v>256</v>
      </c>
      <c r="B249">
        <v>4</v>
      </c>
      <c r="C249">
        <v>9</v>
      </c>
      <c r="D249">
        <f>VLOOKUP(A249, Employees!A:I, 7, FALSE)</f>
        <v>0</v>
      </c>
      <c r="E249" s="2">
        <f>VLOOKUP(A249, Employees!A:I, 9, FALSE)</f>
        <v>0</v>
      </c>
      <c r="F249" s="2">
        <f>E249 + (E249*(B249/5)*0.1) + (C249*45)</f>
        <v>0</v>
      </c>
      <c r="G249" s="2">
        <f>VLOOKUP(D249, Benefits!A:C, 2, FALSE)</f>
        <v>0</v>
      </c>
      <c r="H249" s="3">
        <f>VLOOKUP(F249, Tax_Brackets!A:D, 4, TRUE)</f>
        <v>0</v>
      </c>
      <c r="I249" s="2">
        <f>F249 - G249 - (F249 * H249)</f>
        <v>0</v>
      </c>
    </row>
    <row r="250" spans="1:9">
      <c r="A250" t="s">
        <v>257</v>
      </c>
      <c r="B250">
        <v>3.9</v>
      </c>
      <c r="C250">
        <v>0</v>
      </c>
      <c r="D250">
        <f>VLOOKUP(A250, Employees!A:I, 7, FALSE)</f>
        <v>0</v>
      </c>
      <c r="E250" s="2">
        <f>VLOOKUP(A250, Employees!A:I, 9, FALSE)</f>
        <v>0</v>
      </c>
      <c r="F250" s="2">
        <f>E250 + (E250*(B250/5)*0.1) + (C250*45)</f>
        <v>0</v>
      </c>
      <c r="G250" s="2">
        <f>VLOOKUP(D250, Benefits!A:C, 2, FALSE)</f>
        <v>0</v>
      </c>
      <c r="H250" s="3">
        <f>VLOOKUP(F250, Tax_Brackets!A:D, 4, TRUE)</f>
        <v>0</v>
      </c>
      <c r="I250" s="2">
        <f>F250 - G250 - (F250 * H250)</f>
        <v>0</v>
      </c>
    </row>
    <row r="251" spans="1:9">
      <c r="A251" t="s">
        <v>258</v>
      </c>
      <c r="B251">
        <v>4.3</v>
      </c>
      <c r="C251">
        <v>0</v>
      </c>
      <c r="D251">
        <f>VLOOKUP(A251, Employees!A:I, 7, FALSE)</f>
        <v>0</v>
      </c>
      <c r="E251" s="2">
        <f>VLOOKUP(A251, Employees!A:I, 9, FALSE)</f>
        <v>0</v>
      </c>
      <c r="F251" s="2">
        <f>E251 + (E251*(B251/5)*0.1) + (C251*45)</f>
        <v>0</v>
      </c>
      <c r="G251" s="2">
        <f>VLOOKUP(D251, Benefits!A:C, 2, FALSE)</f>
        <v>0</v>
      </c>
      <c r="H251" s="3">
        <f>VLOOKUP(F251, Tax_Brackets!A:D, 4, TRUE)</f>
        <v>0</v>
      </c>
      <c r="I251" s="2">
        <f>F251 - G251 - (F251 * H251)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Benefits</vt:lpstr>
      <vt:lpstr>Tax_Brackets</vt:lpstr>
      <vt:lpstr>Payroll_Run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2026-03-25T10:43:20Z</dcterms:created>
  <dcterms:modified xsi:type="dcterms:W3CDTF">2026-03-25T10:43:20Z</dcterms:modified>
</cp:coreProperties>
</file>