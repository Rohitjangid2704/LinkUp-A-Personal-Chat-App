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Shipping_Zones" sheetId="2" r:id="rId2"/>
    <sheet name="Volume_Discounts" sheetId="3" r:id="rId3"/>
    <sheet name="Sales_Ledger" sheetId="4" r:id="rId4"/>
  </sheets>
  <calcPr calcId="124519" fullCalcOnLoad="1"/>
</workbook>
</file>

<file path=xl/sharedStrings.xml><?xml version="1.0" encoding="utf-8"?>
<sst xmlns="http://schemas.openxmlformats.org/spreadsheetml/2006/main" count="1412" uniqueCount="642">
  <si>
    <t>Product_ID</t>
  </si>
  <si>
    <t>Product_Name</t>
  </si>
  <si>
    <t>Category</t>
  </si>
  <si>
    <t>COGS</t>
  </si>
  <si>
    <t>Retail_Price</t>
  </si>
  <si>
    <t>Weight_kg</t>
  </si>
  <si>
    <t>PRD-100</t>
  </si>
  <si>
    <t>PRD-101</t>
  </si>
  <si>
    <t>PRD-102</t>
  </si>
  <si>
    <t>PRD-103</t>
  </si>
  <si>
    <t>PRD-104</t>
  </si>
  <si>
    <t>PRD-105</t>
  </si>
  <si>
    <t>PRD-106</t>
  </si>
  <si>
    <t>PRD-107</t>
  </si>
  <si>
    <t>PRD-108</t>
  </si>
  <si>
    <t>PRD-109</t>
  </si>
  <si>
    <t>PRD-110</t>
  </si>
  <si>
    <t>PRD-111</t>
  </si>
  <si>
    <t>PRD-112</t>
  </si>
  <si>
    <t>PRD-113</t>
  </si>
  <si>
    <t>PRD-114</t>
  </si>
  <si>
    <t>PRD-115</t>
  </si>
  <si>
    <t>PRD-116</t>
  </si>
  <si>
    <t>PRD-117</t>
  </si>
  <si>
    <t>PRD-118</t>
  </si>
  <si>
    <t>PRD-119</t>
  </si>
  <si>
    <t>PRD-120</t>
  </si>
  <si>
    <t>PRD-121</t>
  </si>
  <si>
    <t>PRD-122</t>
  </si>
  <si>
    <t>PRD-123</t>
  </si>
  <si>
    <t>PRD-124</t>
  </si>
  <si>
    <t>PRD-125</t>
  </si>
  <si>
    <t>PRD-126</t>
  </si>
  <si>
    <t>PRD-127</t>
  </si>
  <si>
    <t>PRD-128</t>
  </si>
  <si>
    <t>PRD-129</t>
  </si>
  <si>
    <t>PRD-130</t>
  </si>
  <si>
    <t>PRD-131</t>
  </si>
  <si>
    <t>PRD-132</t>
  </si>
  <si>
    <t>PRD-133</t>
  </si>
  <si>
    <t>PRD-134</t>
  </si>
  <si>
    <t>PRD-135</t>
  </si>
  <si>
    <t>PRD-136</t>
  </si>
  <si>
    <t>PRD-137</t>
  </si>
  <si>
    <t>PRD-138</t>
  </si>
  <si>
    <t>PRD-139</t>
  </si>
  <si>
    <t>PRD-140</t>
  </si>
  <si>
    <t>PRD-141</t>
  </si>
  <si>
    <t>PRD-142</t>
  </si>
  <si>
    <t>PRD-143</t>
  </si>
  <si>
    <t>PRD-144</t>
  </si>
  <si>
    <t>PRD-145</t>
  </si>
  <si>
    <t>PRD-146</t>
  </si>
  <si>
    <t>PRD-147</t>
  </si>
  <si>
    <t>PRD-148</t>
  </si>
  <si>
    <t>PRD-149</t>
  </si>
  <si>
    <t>Furniture Item 1</t>
  </si>
  <si>
    <t>Apparel Item 2</t>
  </si>
  <si>
    <t>Home Goods Item 3</t>
  </si>
  <si>
    <t>Electronics Item 4</t>
  </si>
  <si>
    <t>Fitness Item 5</t>
  </si>
  <si>
    <t>Electronics Item 6</t>
  </si>
  <si>
    <t>Fitness Item 7</t>
  </si>
  <si>
    <t>Apparel Item 8</t>
  </si>
  <si>
    <t>Electronics Item 9</t>
  </si>
  <si>
    <t>Fitness Item 10</t>
  </si>
  <si>
    <t>Fitness Item 11</t>
  </si>
  <si>
    <t>Fitness Item 12</t>
  </si>
  <si>
    <t>Apparel Item 13</t>
  </si>
  <si>
    <t>Home Goods Item 14</t>
  </si>
  <si>
    <t>Apparel Item 15</t>
  </si>
  <si>
    <t>Furniture Item 16</t>
  </si>
  <si>
    <t>Apparel Item 17</t>
  </si>
  <si>
    <t>Apparel Item 18</t>
  </si>
  <si>
    <t>Home Goods Item 19</t>
  </si>
  <si>
    <t>Furniture Item 20</t>
  </si>
  <si>
    <t>Home Goods Item 21</t>
  </si>
  <si>
    <t>Furniture Item 22</t>
  </si>
  <si>
    <t>Fitness Item 23</t>
  </si>
  <si>
    <t>Furniture Item 24</t>
  </si>
  <si>
    <t>Fitness Item 25</t>
  </si>
  <si>
    <t>Electronics Item 26</t>
  </si>
  <si>
    <t>Electronics Item 27</t>
  </si>
  <si>
    <t>Fitness Item 28</t>
  </si>
  <si>
    <t>Furniture Item 29</t>
  </si>
  <si>
    <t>Electronics Item 30</t>
  </si>
  <si>
    <t>Furniture Item 31</t>
  </si>
  <si>
    <t>Furniture Item 32</t>
  </si>
  <si>
    <t>Electronics Item 33</t>
  </si>
  <si>
    <t>Apparel Item 34</t>
  </si>
  <si>
    <t>Furniture Item 35</t>
  </si>
  <si>
    <t>Electronics Item 36</t>
  </si>
  <si>
    <t>Electronics Item 37</t>
  </si>
  <si>
    <t>Apparel Item 38</t>
  </si>
  <si>
    <t>Electronics Item 39</t>
  </si>
  <si>
    <t>Apparel Item 40</t>
  </si>
  <si>
    <t>Home Goods Item 41</t>
  </si>
  <si>
    <t>Apparel Item 42</t>
  </si>
  <si>
    <t>Home Goods Item 43</t>
  </si>
  <si>
    <t>Home Goods Item 44</t>
  </si>
  <si>
    <t>Furniture Item 45</t>
  </si>
  <si>
    <t>Electronics Item 46</t>
  </si>
  <si>
    <t>Electronics Item 47</t>
  </si>
  <si>
    <t>Electronics Item 48</t>
  </si>
  <si>
    <t>Electronics Item 49</t>
  </si>
  <si>
    <t>Fitness Item 50</t>
  </si>
  <si>
    <t>Furniture</t>
  </si>
  <si>
    <t>Apparel</t>
  </si>
  <si>
    <t>Home Goods</t>
  </si>
  <si>
    <t>Electronics</t>
  </si>
  <si>
    <t>Fitness</t>
  </si>
  <si>
    <t>Zone_Code</t>
  </si>
  <si>
    <t>Flat_Fee</t>
  </si>
  <si>
    <t>Cost_Per_Kg</t>
  </si>
  <si>
    <t>Zone_A_Local</t>
  </si>
  <si>
    <t>Zone_B_Regional</t>
  </si>
  <si>
    <t>Zone_C_National</t>
  </si>
  <si>
    <t>Zone_D_Remote</t>
  </si>
  <si>
    <t>Min_Qty</t>
  </si>
  <si>
    <t>Max_Qty</t>
  </si>
  <si>
    <t>Discount_Pct</t>
  </si>
  <si>
    <t>Order_ID</t>
  </si>
  <si>
    <t>Order_Date</t>
  </si>
  <si>
    <t>Quantity</t>
  </si>
  <si>
    <t>COGS_F</t>
  </si>
  <si>
    <t>Retail_Price_F</t>
  </si>
  <si>
    <t>Unit_Weight_F</t>
  </si>
  <si>
    <t>Gross_Rev_F</t>
  </si>
  <si>
    <t>Discount_Pct_F</t>
  </si>
  <si>
    <t>Net_Rev_F</t>
  </si>
  <si>
    <t>Total_Weight_F</t>
  </si>
  <si>
    <t>Ship_Flat_F</t>
  </si>
  <si>
    <t>Ship_Per_Kg_F</t>
  </si>
  <si>
    <t>Total_Shipping_F</t>
  </si>
  <si>
    <t>Total_Cost_F</t>
  </si>
  <si>
    <t>Net_Profit_F</t>
  </si>
  <si>
    <t>ORD-10000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</si>
  <si>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</si>
  <si>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</si>
  <si>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</si>
  <si>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</si>
  <si>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</si>
  <si>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</si>
  <si>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</si>
  <si>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</si>
  <si>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</si>
  <si>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</si>
  <si>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</si>
  <si>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</si>
  <si>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</si>
  <si>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</si>
  <si>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</si>
  <si>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</si>
  <si>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</si>
  <si>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</si>
  <si>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</si>
  <si>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</si>
  <si>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</si>
  <si>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</si>
  <si>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</si>
  <si>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</si>
  <si>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</si>
  <si>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</si>
  <si>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</si>
  <si>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</si>
  <si>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</si>
  <si>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</si>
  <si>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</si>
  <si>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</si>
  <si>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</si>
  <si>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</si>
  <si>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</si>
  <si>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</si>
  <si>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</si>
  <si>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</si>
  <si>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</si>
  <si>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</si>
  <si>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</si>
  <si>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</si>
  <si>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</si>
  <si>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</si>
  <si>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</si>
  <si>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</si>
  <si>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</si>
  <si>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</si>
  <si>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</si>
  <si>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</si>
  <si>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</si>
  <si>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</si>
  <si>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</si>
  <si>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</si>
  <si>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</si>
  <si>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</si>
  <si>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</si>
  <si>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</si>
  <si>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</si>
  <si>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</si>
  <si>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</si>
  <si>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</si>
  <si>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</si>
  <si>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</si>
  <si>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</si>
  <si>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</si>
  <si>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</si>
  <si>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</si>
  <si>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</si>
  <si>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</si>
  <si>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</si>
  <si>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</si>
  <si>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</si>
  <si>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</si>
  <si>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</si>
  <si>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</si>
  <si>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</si>
  <si>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</si>
  <si>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</si>
  <si>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</si>
  <si>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</si>
  <si>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</si>
  <si>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</si>
  <si>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</si>
  <si>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</si>
  <si>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</si>
  <si>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</si>
  <si>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</si>
  <si>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</si>
  <si>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</si>
  <si>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</si>
  <si>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</si>
  <si>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</si>
  <si>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</si>
  <si>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</si>
  <si>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</si>
  <si>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</si>
  <si>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</si>
  <si>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</si>
  <si>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</si>
  <si>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</si>
  <si>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</si>
  <si>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</si>
  <si>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</si>
  <si>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</si>
  <si>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</si>
  <si>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</si>
  <si>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</si>
  <si>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</si>
  <si>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</si>
  <si>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</si>
  <si>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</si>
  <si>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</si>
  <si>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</si>
  <si>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</si>
  <si>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</si>
  <si>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</si>
  <si>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</si>
  <si>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</si>
  <si>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</si>
  <si>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</si>
  <si>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</si>
  <si>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</si>
  <si>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</si>
  <si>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</si>
  <si>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</si>
  <si>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</si>
  <si>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</si>
  <si>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</si>
  <si>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</si>
  <si>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</si>
  <si>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</si>
  <si>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</si>
  <si>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</si>
  <si>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</si>
  <si>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</si>
  <si>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</si>
  <si>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</si>
  <si>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</si>
  <si>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</si>
  <si>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</si>
  <si>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</si>
  <si>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</si>
  <si>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</si>
  <si>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</si>
  <si>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</si>
  <si>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</si>
  <si>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</si>
  <si>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</si>
  <si>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</si>
  <si>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</si>
  <si>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</si>
  <si>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</si>
  <si>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</si>
  <si>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</si>
  <si>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</si>
  <si>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</si>
  <si>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</si>
  <si>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</si>
  <si>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</si>
  <si>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</si>
  <si>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</si>
  <si>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</si>
  <si>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</si>
  <si>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</si>
  <si>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</si>
  <si>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</si>
  <si>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</si>
  <si>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</si>
  <si>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</si>
  <si>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</si>
  <si>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</si>
  <si>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</si>
  <si>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</si>
  <si>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</si>
  <si>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</si>
  <si>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</si>
  <si>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</si>
  <si>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</si>
  <si>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</si>
  <si>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</si>
  <si>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</si>
  <si>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</si>
  <si>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</si>
  <si>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</si>
  <si>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</si>
  <si>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</si>
  <si>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</si>
  <si>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</si>
  <si>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</si>
  <si>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</si>
  <si>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</si>
  <si>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</si>
  <si>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</si>
  <si>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</si>
  <si>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</si>
  <si>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</si>
  <si>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</si>
  <si>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</si>
  <si>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</si>
  <si>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</si>
  <si>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</si>
  <si>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</si>
  <si>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</si>
  <si>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</si>
  <si>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</si>
  <si>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</si>
  <si>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</si>
  <si>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</si>
  <si>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</si>
  <si>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</si>
  <si>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</si>
  <si>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</si>
  <si>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</si>
  <si>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</si>
  <si>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</si>
  <si>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</si>
  <si>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</si>
  <si>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</si>
  <si>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</si>
  <si>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</si>
  <si>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</si>
  <si>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</si>
  <si>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</si>
  <si>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</si>
  <si>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</si>
  <si>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</si>
  <si>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</si>
  <si>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</si>
  <si>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</si>
  <si>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</si>
  <si>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</si>
  <si>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</si>
  <si>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</si>
  <si>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</si>
  <si>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</si>
  <si>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</si>
  <si>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</si>
  <si>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</si>
  <si>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</si>
  <si>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</si>
  <si>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</si>
  <si>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</si>
  <si>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</si>
  <si>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</si>
  <si>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</si>
  <si>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</si>
  <si>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</si>
  <si>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</si>
  <si>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</si>
  <si>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</si>
  <si>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</si>
  <si>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</si>
  <si>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</si>
  <si>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</si>
  <si>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</si>
  <si>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</si>
  <si>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</si>
  <si>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</si>
  <si>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</si>
  <si>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</si>
  <si>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</si>
  <si>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</si>
  <si>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</si>
  <si>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</si>
  <si>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</si>
  <si>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</si>
  <si>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</si>
  <si>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</si>
  <si>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</si>
  <si>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</si>
  <si>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</si>
  <si>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</si>
  <si>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</si>
  <si>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</si>
  <si>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</si>
  <si>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</si>
  <si>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</si>
  <si>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</si>
  <si>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</si>
  <si>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</si>
  <si>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</si>
  <si>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</si>
  <si>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</si>
  <si>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</si>
  <si>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</si>
  <si>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</si>
  <si>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</si>
  <si>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</si>
  <si>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</si>
  <si>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</si>
  <si>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</si>
  <si>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</si>
  <si>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</si>
  <si>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</si>
  <si>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</si>
  <si>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</si>
  <si>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</si>
  <si>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</si>
  <si>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2023-01-24</t>
  </si>
  <si>
    <t>2023-05-15</t>
  </si>
  <si>
    <t>2023-05-01</t>
  </si>
  <si>
    <t>2023-03-21</t>
  </si>
  <si>
    <t>2023-08-10</t>
  </si>
  <si>
    <t>2023-10-13</t>
  </si>
  <si>
    <t>2023-07-03</t>
  </si>
  <si>
    <t>2023-12-19</t>
  </si>
  <si>
    <t>2023-03-04</t>
  </si>
  <si>
    <t>2023-03-03</t>
  </si>
  <si>
    <t>2023-10-24</t>
  </si>
  <si>
    <t>2023-03-29</t>
  </si>
  <si>
    <t>2023-01-11</t>
  </si>
  <si>
    <t>2023-10-05</t>
  </si>
  <si>
    <t>2023-12-25</t>
  </si>
  <si>
    <t>2023-02-16</t>
  </si>
  <si>
    <t>2023-11-15</t>
  </si>
  <si>
    <t>2023-04-24</t>
  </si>
  <si>
    <t>2023-07-08</t>
  </si>
  <si>
    <t>2023-05-18</t>
  </si>
  <si>
    <t>2023-02-04</t>
  </si>
  <si>
    <t>2023-06-25</t>
  </si>
  <si>
    <t>2023-06-11</t>
  </si>
  <si>
    <t>2023-01-27</t>
  </si>
  <si>
    <t>2023-09-21</t>
  </si>
  <si>
    <t>2023-01-12</t>
  </si>
  <si>
    <t>2023-05-29</t>
  </si>
  <si>
    <t>2023-05-19</t>
  </si>
  <si>
    <t>2023-11-07</t>
  </si>
  <si>
    <t>2023-08-24</t>
  </si>
  <si>
    <t>2023-06-04</t>
  </si>
  <si>
    <t>2023-01-16</t>
  </si>
  <si>
    <t>2023-05-22</t>
  </si>
  <si>
    <t>2023-06-02</t>
  </si>
  <si>
    <t>2023-04-28</t>
  </si>
  <si>
    <t>2023-01-03</t>
  </si>
  <si>
    <t>2023-06-29</t>
  </si>
  <si>
    <t>2023-08-02</t>
  </si>
  <si>
    <t>2023-08-22</t>
  </si>
  <si>
    <t>2023-04-26</t>
  </si>
  <si>
    <t>2023-05-05</t>
  </si>
  <si>
    <t>2023-12-28</t>
  </si>
  <si>
    <t>2023-03-22</t>
  </si>
  <si>
    <t>2023-04-29</t>
  </si>
  <si>
    <t>2023-01-02</t>
  </si>
  <si>
    <t>2023-01-19</t>
  </si>
  <si>
    <t>2023-02-18</t>
  </si>
  <si>
    <t>2023-03-28</t>
  </si>
  <si>
    <t>2023-09-18</t>
  </si>
  <si>
    <t>2023-07-14</t>
  </si>
  <si>
    <t>2023-05-24</t>
  </si>
  <si>
    <t>2023-06-05</t>
  </si>
  <si>
    <t>2023-01-15</t>
  </si>
  <si>
    <t>2023-04-19</t>
  </si>
  <si>
    <t>2023-05-23</t>
  </si>
  <si>
    <t>2023-08-07</t>
  </si>
  <si>
    <t>2023-11-24</t>
  </si>
  <si>
    <t>2023-06-30</t>
  </si>
  <si>
    <t>2023-06-22</t>
  </si>
  <si>
    <t>2023-01-20</t>
  </si>
  <si>
    <t>2023-10-26</t>
  </si>
  <si>
    <t>2023-12-24</t>
  </si>
  <si>
    <t>2023-03-10</t>
  </si>
  <si>
    <t>2023-07-18</t>
  </si>
  <si>
    <t>2023-05-31</t>
  </si>
  <si>
    <t>2023-09-23</t>
  </si>
  <si>
    <t>2023-07-15</t>
  </si>
  <si>
    <t>2023-10-04</t>
  </si>
  <si>
    <t>2023-10-03</t>
  </si>
  <si>
    <t>2023-10-31</t>
  </si>
  <si>
    <t>2023-02-17</t>
  </si>
  <si>
    <t>2023-11-16</t>
  </si>
  <si>
    <t>2023-04-22</t>
  </si>
  <si>
    <t>2023-10-28</t>
  </si>
  <si>
    <t>2023-07-05</t>
  </si>
  <si>
    <t>2023-02-12</t>
  </si>
  <si>
    <t>2023-07-11</t>
  </si>
  <si>
    <t>2023-12-17</t>
  </si>
  <si>
    <t>2023-07-02</t>
  </si>
  <si>
    <t>2023-03-27</t>
  </si>
  <si>
    <t>2023-03-06</t>
  </si>
  <si>
    <t>2023-04-02</t>
  </si>
  <si>
    <t>2023-10-12</t>
  </si>
  <si>
    <t>2023-05-21</t>
  </si>
  <si>
    <t>2023-02-19</t>
  </si>
  <si>
    <t>2023-04-08</t>
  </si>
  <si>
    <t>2023-05-08</t>
  </si>
  <si>
    <t>2023-02-26</t>
  </si>
  <si>
    <t>2023-01-14</t>
  </si>
  <si>
    <t>2023-01-26</t>
  </si>
  <si>
    <t>2023-02-07</t>
  </si>
  <si>
    <t>2023-06-09</t>
  </si>
  <si>
    <t>2023-01-10</t>
  </si>
  <si>
    <t>2023-09-17</t>
  </si>
  <si>
    <t>2023-11-26</t>
  </si>
  <si>
    <t>2023-05-20</t>
  </si>
  <si>
    <t>2023-02-27</t>
  </si>
  <si>
    <t>2023-07-10</t>
  </si>
  <si>
    <t>2023-09-05</t>
  </si>
  <si>
    <t>2023-03-14</t>
  </si>
  <si>
    <t>2023-08-11</t>
  </si>
  <si>
    <t>2023-12-31</t>
  </si>
  <si>
    <t>2023-05-17</t>
  </si>
  <si>
    <t>2023-11-29</t>
  </si>
  <si>
    <t>2023-07-12</t>
  </si>
  <si>
    <t>2023-07-31</t>
  </si>
  <si>
    <t>2023-01-05</t>
  </si>
  <si>
    <t>2023-10-22</t>
  </si>
  <si>
    <t>2023-04-27</t>
  </si>
  <si>
    <t>2023-10-23</t>
  </si>
  <si>
    <t>2023-01-23</t>
  </si>
  <si>
    <t>2023-11-01</t>
  </si>
  <si>
    <t>2023-08-06</t>
  </si>
  <si>
    <t>2023-06-23</t>
  </si>
  <si>
    <t>2023-10-16</t>
  </si>
  <si>
    <t>2023-04-03</t>
  </si>
  <si>
    <t>2023-02-06</t>
  </si>
  <si>
    <t>2023-01-06</t>
  </si>
  <si>
    <t>2023-06-27</t>
  </si>
  <si>
    <t>2023-02-23</t>
  </si>
  <si>
    <t>2023-02-05</t>
  </si>
  <si>
    <t>2023-07-23</t>
  </si>
  <si>
    <t>2023-08-16</t>
  </si>
  <si>
    <t>2023-06-06</t>
  </si>
  <si>
    <t>2023-10-07</t>
  </si>
  <si>
    <t>2023-11-12</t>
  </si>
  <si>
    <t>2023-09-29</t>
  </si>
  <si>
    <t>2023-05-14</t>
  </si>
  <si>
    <t>2023-08-31</t>
  </si>
  <si>
    <t>2023-07-25</t>
  </si>
  <si>
    <t>2023-08-19</t>
  </si>
  <si>
    <t>2023-10-21</t>
  </si>
  <si>
    <t>2023-07-06</t>
  </si>
  <si>
    <t>2023-03-01</t>
  </si>
  <si>
    <t>2023-07-28</t>
  </si>
  <si>
    <t>2023-07-27</t>
  </si>
  <si>
    <t>2023-12-18</t>
  </si>
  <si>
    <t>2023-10-01</t>
  </si>
  <si>
    <t>2023-12-27</t>
  </si>
  <si>
    <t>2023-01-30</t>
  </si>
  <si>
    <t>2023-10-29</t>
  </si>
  <si>
    <t>2023-06-21</t>
  </si>
  <si>
    <t>2023-10-09</t>
  </si>
  <si>
    <t>2023-03-24</t>
  </si>
  <si>
    <t>2023-04-01</t>
  </si>
  <si>
    <t>2023-02-28</t>
  </si>
  <si>
    <t>2023-08-18</t>
  </si>
  <si>
    <t>2023-03-17</t>
  </si>
  <si>
    <t>2023-08-26</t>
  </si>
  <si>
    <t>2023-03-09</t>
  </si>
  <si>
    <t>2023-09-27</t>
  </si>
  <si>
    <t>2023-05-16</t>
  </si>
  <si>
    <t>2023-08-30</t>
  </si>
  <si>
    <t>2023-10-27</t>
  </si>
  <si>
    <t>2023-04-10</t>
  </si>
  <si>
    <t>2023-02-11</t>
  </si>
  <si>
    <t>2023-08-13</t>
  </si>
  <si>
    <t>2023-09-04</t>
  </si>
  <si>
    <t>2023-08-05</t>
  </si>
  <si>
    <t>2023-08-27</t>
  </si>
  <si>
    <t>2023-03-16</t>
  </si>
  <si>
    <t>2023-04-18</t>
  </si>
  <si>
    <t>2023-09-24</t>
  </si>
  <si>
    <t>2023-11-18</t>
  </si>
  <si>
    <t>2023-01-29</t>
  </si>
  <si>
    <t>2023-03-26</t>
  </si>
  <si>
    <t>2023-06-15</t>
  </si>
  <si>
    <t>2023-07-13</t>
  </si>
  <si>
    <t>2023-05-30</t>
  </si>
  <si>
    <t>2023-12-03</t>
  </si>
  <si>
    <t>2023-12-30</t>
  </si>
  <si>
    <t>2023-12-04</t>
  </si>
  <si>
    <t>2023-12-12</t>
  </si>
  <si>
    <t>2023-07-07</t>
  </si>
  <si>
    <t>2023-10-17</t>
  </si>
  <si>
    <t>2023-04-09</t>
  </si>
  <si>
    <t>2023-12-23</t>
  </si>
  <si>
    <t>2023-12-05</t>
  </si>
  <si>
    <t>2023-11-21</t>
  </si>
  <si>
    <t>2023-01-13</t>
  </si>
  <si>
    <t>2023-06-08</t>
  </si>
  <si>
    <t>2023-05-02</t>
  </si>
  <si>
    <t>2023-06-14</t>
  </si>
  <si>
    <t>2023-04-15</t>
  </si>
  <si>
    <t>2023-05-03</t>
  </si>
  <si>
    <t>2023-05-12</t>
  </si>
  <si>
    <t>2023-09-14</t>
  </si>
  <si>
    <t>2023-03-15</t>
  </si>
  <si>
    <t>2023-09-09</t>
  </si>
  <si>
    <t>2023-11-14</t>
  </si>
  <si>
    <t>2023-04-04</t>
  </si>
  <si>
    <t>2023-09-11</t>
  </si>
  <si>
    <t>2023-01-22</t>
  </si>
  <si>
    <t>2023-07-26</t>
  </si>
  <si>
    <t>2023-07-16</t>
  </si>
  <si>
    <t>2023-07-21</t>
  </si>
  <si>
    <t>2023-12-11</t>
  </si>
  <si>
    <t>2023-09-15</t>
  </si>
  <si>
    <t>2023-09-13</t>
  </si>
  <si>
    <t>2023-12-10</t>
  </si>
  <si>
    <t>2023-11-27</t>
  </si>
  <si>
    <t>2023-09-06</t>
  </si>
  <si>
    <t>2023-10-19</t>
  </si>
  <si>
    <t>2023-02-02</t>
  </si>
  <si>
    <t>2023-04-21</t>
  </si>
  <si>
    <t>2023-05-11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</si>
</sst>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 &quot;kg&quot;"/>
    <numFmt numFmtId="166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cols>
    <col min="1" max="2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106</v>
      </c>
      <c r="D2">
        <v>444</v>
      </c>
      <c r="E2">
        <v>888</v>
      </c>
      <c r="F2">
        <v>30.8</v>
      </c>
    </row>
    <row r="3" spans="1:6">
      <c r="A3" t="s">
        <v>7</v>
      </c>
      <c r="B3" t="s">
        <v>57</v>
      </c>
      <c r="C3" t="s">
        <v>107</v>
      </c>
      <c r="D3">
        <v>7</v>
      </c>
      <c r="E3">
        <v>21</v>
      </c>
      <c r="F3">
        <v>0.54</v>
      </c>
    </row>
    <row r="4" spans="1:6">
      <c r="A4" t="s">
        <v>8</v>
      </c>
      <c r="B4" t="s">
        <v>58</v>
      </c>
      <c r="C4" t="s">
        <v>108</v>
      </c>
      <c r="D4">
        <v>84</v>
      </c>
      <c r="E4">
        <v>210</v>
      </c>
      <c r="F4">
        <v>1.56</v>
      </c>
    </row>
    <row r="5" spans="1:6">
      <c r="A5" t="s">
        <v>9</v>
      </c>
      <c r="B5" t="s">
        <v>59</v>
      </c>
      <c r="C5" t="s">
        <v>109</v>
      </c>
      <c r="D5">
        <v>62</v>
      </c>
      <c r="E5">
        <v>86.8</v>
      </c>
      <c r="F5">
        <v>2.39</v>
      </c>
    </row>
    <row r="6" spans="1:6">
      <c r="A6" t="s">
        <v>10</v>
      </c>
      <c r="B6" t="s">
        <v>60</v>
      </c>
      <c r="C6" t="s">
        <v>110</v>
      </c>
      <c r="D6">
        <v>179</v>
      </c>
      <c r="E6">
        <v>322.2</v>
      </c>
      <c r="F6">
        <v>18.34</v>
      </c>
    </row>
    <row r="7" spans="1:6">
      <c r="A7" t="s">
        <v>11</v>
      </c>
      <c r="B7" t="s">
        <v>61</v>
      </c>
      <c r="C7" t="s">
        <v>109</v>
      </c>
      <c r="D7">
        <v>271</v>
      </c>
      <c r="E7">
        <v>379.4</v>
      </c>
      <c r="F7">
        <v>2.78</v>
      </c>
    </row>
    <row r="8" spans="1:6">
      <c r="A8" t="s">
        <v>12</v>
      </c>
      <c r="B8" t="s">
        <v>62</v>
      </c>
      <c r="C8" t="s">
        <v>110</v>
      </c>
      <c r="D8">
        <v>142</v>
      </c>
      <c r="E8">
        <v>255.6</v>
      </c>
      <c r="F8">
        <v>6.48</v>
      </c>
    </row>
    <row r="9" spans="1:6">
      <c r="A9" t="s">
        <v>13</v>
      </c>
      <c r="B9" t="s">
        <v>63</v>
      </c>
      <c r="C9" t="s">
        <v>107</v>
      </c>
      <c r="D9">
        <v>5</v>
      </c>
      <c r="E9">
        <v>15</v>
      </c>
      <c r="F9">
        <v>0.25</v>
      </c>
    </row>
    <row r="10" spans="1:6">
      <c r="A10" t="s">
        <v>14</v>
      </c>
      <c r="B10" t="s">
        <v>64</v>
      </c>
      <c r="C10" t="s">
        <v>109</v>
      </c>
      <c r="D10">
        <v>172</v>
      </c>
      <c r="E10">
        <v>240.8</v>
      </c>
      <c r="F10">
        <v>1.84</v>
      </c>
    </row>
    <row r="11" spans="1:6">
      <c r="A11" t="s">
        <v>15</v>
      </c>
      <c r="B11" t="s">
        <v>65</v>
      </c>
      <c r="C11" t="s">
        <v>110</v>
      </c>
      <c r="D11">
        <v>156</v>
      </c>
      <c r="E11">
        <v>280.8</v>
      </c>
      <c r="F11">
        <v>10.36</v>
      </c>
    </row>
    <row r="12" spans="1:6">
      <c r="A12" t="s">
        <v>16</v>
      </c>
      <c r="B12" t="s">
        <v>66</v>
      </c>
      <c r="C12" t="s">
        <v>110</v>
      </c>
      <c r="D12">
        <v>54</v>
      </c>
      <c r="E12">
        <v>97.2</v>
      </c>
      <c r="F12">
        <v>11.98</v>
      </c>
    </row>
    <row r="13" spans="1:6">
      <c r="A13" t="s">
        <v>17</v>
      </c>
      <c r="B13" t="s">
        <v>67</v>
      </c>
      <c r="C13" t="s">
        <v>110</v>
      </c>
      <c r="D13">
        <v>123</v>
      </c>
      <c r="E13">
        <v>221.4</v>
      </c>
      <c r="F13">
        <v>24.32</v>
      </c>
    </row>
    <row r="14" spans="1:6">
      <c r="A14" t="s">
        <v>18</v>
      </c>
      <c r="B14" t="s">
        <v>68</v>
      </c>
      <c r="C14" t="s">
        <v>107</v>
      </c>
      <c r="D14">
        <v>16</v>
      </c>
      <c r="E14">
        <v>48</v>
      </c>
      <c r="F14">
        <v>0.12</v>
      </c>
    </row>
    <row r="15" spans="1:6">
      <c r="A15" t="s">
        <v>19</v>
      </c>
      <c r="B15" t="s">
        <v>69</v>
      </c>
      <c r="C15" t="s">
        <v>108</v>
      </c>
      <c r="D15">
        <v>91</v>
      </c>
      <c r="E15">
        <v>227.5</v>
      </c>
      <c r="F15">
        <v>1.15</v>
      </c>
    </row>
    <row r="16" spans="1:6">
      <c r="A16" t="s">
        <v>20</v>
      </c>
      <c r="B16" t="s">
        <v>70</v>
      </c>
      <c r="C16" t="s">
        <v>107</v>
      </c>
      <c r="D16">
        <v>39</v>
      </c>
      <c r="E16">
        <v>117</v>
      </c>
      <c r="F16">
        <v>0.37</v>
      </c>
    </row>
    <row r="17" spans="1:6">
      <c r="A17" t="s">
        <v>21</v>
      </c>
      <c r="B17" t="s">
        <v>71</v>
      </c>
      <c r="C17" t="s">
        <v>106</v>
      </c>
      <c r="D17">
        <v>273</v>
      </c>
      <c r="E17">
        <v>546</v>
      </c>
      <c r="F17">
        <v>33.13</v>
      </c>
    </row>
    <row r="18" spans="1:6">
      <c r="A18" t="s">
        <v>22</v>
      </c>
      <c r="B18" t="s">
        <v>72</v>
      </c>
      <c r="C18" t="s">
        <v>107</v>
      </c>
      <c r="D18">
        <v>34</v>
      </c>
      <c r="E18">
        <v>102</v>
      </c>
      <c r="F18">
        <v>0.91</v>
      </c>
    </row>
    <row r="19" spans="1:6">
      <c r="A19" t="s">
        <v>23</v>
      </c>
      <c r="B19" t="s">
        <v>73</v>
      </c>
      <c r="C19" t="s">
        <v>107</v>
      </c>
      <c r="D19">
        <v>8</v>
      </c>
      <c r="E19">
        <v>24</v>
      </c>
      <c r="F19">
        <v>0.71</v>
      </c>
    </row>
    <row r="20" spans="1:6">
      <c r="A20" t="s">
        <v>24</v>
      </c>
      <c r="B20" t="s">
        <v>74</v>
      </c>
      <c r="C20" t="s">
        <v>108</v>
      </c>
      <c r="D20">
        <v>62</v>
      </c>
      <c r="E20">
        <v>155</v>
      </c>
      <c r="F20">
        <v>5.78</v>
      </c>
    </row>
    <row r="21" spans="1:6">
      <c r="A21" t="s">
        <v>25</v>
      </c>
      <c r="B21" t="s">
        <v>75</v>
      </c>
      <c r="C21" t="s">
        <v>106</v>
      </c>
      <c r="D21">
        <v>415</v>
      </c>
      <c r="E21">
        <v>830</v>
      </c>
      <c r="F21">
        <v>27.08</v>
      </c>
    </row>
    <row r="22" spans="1:6">
      <c r="A22" t="s">
        <v>26</v>
      </c>
      <c r="B22" t="s">
        <v>76</v>
      </c>
      <c r="C22" t="s">
        <v>108</v>
      </c>
      <c r="D22">
        <v>58</v>
      </c>
      <c r="E22">
        <v>145</v>
      </c>
      <c r="F22">
        <v>1.51</v>
      </c>
    </row>
    <row r="23" spans="1:6">
      <c r="A23" t="s">
        <v>27</v>
      </c>
      <c r="B23" t="s">
        <v>77</v>
      </c>
      <c r="C23" t="s">
        <v>106</v>
      </c>
      <c r="D23">
        <v>525</v>
      </c>
      <c r="E23">
        <v>1050</v>
      </c>
      <c r="F23">
        <v>33.51</v>
      </c>
    </row>
    <row r="24" spans="1:6">
      <c r="A24" t="s">
        <v>28</v>
      </c>
      <c r="B24" t="s">
        <v>78</v>
      </c>
      <c r="C24" t="s">
        <v>110</v>
      </c>
      <c r="D24">
        <v>61</v>
      </c>
      <c r="E24">
        <v>109.8</v>
      </c>
      <c r="F24">
        <v>4.21</v>
      </c>
    </row>
    <row r="25" spans="1:6">
      <c r="A25" t="s">
        <v>29</v>
      </c>
      <c r="B25" t="s">
        <v>79</v>
      </c>
      <c r="C25" t="s">
        <v>106</v>
      </c>
      <c r="D25">
        <v>648</v>
      </c>
      <c r="E25">
        <v>1296</v>
      </c>
      <c r="F25">
        <v>28.78</v>
      </c>
    </row>
    <row r="26" spans="1:6">
      <c r="A26" t="s">
        <v>30</v>
      </c>
      <c r="B26" t="s">
        <v>80</v>
      </c>
      <c r="C26" t="s">
        <v>110</v>
      </c>
      <c r="D26">
        <v>28</v>
      </c>
      <c r="E26">
        <v>50.4</v>
      </c>
      <c r="F26">
        <v>17.21</v>
      </c>
    </row>
    <row r="27" spans="1:6">
      <c r="A27" t="s">
        <v>31</v>
      </c>
      <c r="B27" t="s">
        <v>81</v>
      </c>
      <c r="C27" t="s">
        <v>109</v>
      </c>
      <c r="D27">
        <v>294</v>
      </c>
      <c r="E27">
        <v>411.6</v>
      </c>
      <c r="F27">
        <v>2.54</v>
      </c>
    </row>
    <row r="28" spans="1:6">
      <c r="A28" t="s">
        <v>32</v>
      </c>
      <c r="B28" t="s">
        <v>82</v>
      </c>
      <c r="C28" t="s">
        <v>109</v>
      </c>
      <c r="D28">
        <v>376</v>
      </c>
      <c r="E28">
        <v>526.4</v>
      </c>
      <c r="F28">
        <v>2.38</v>
      </c>
    </row>
    <row r="29" spans="1:6">
      <c r="A29" t="s">
        <v>33</v>
      </c>
      <c r="B29" t="s">
        <v>83</v>
      </c>
      <c r="C29" t="s">
        <v>110</v>
      </c>
      <c r="D29">
        <v>185</v>
      </c>
      <c r="E29">
        <v>333</v>
      </c>
      <c r="F29">
        <v>4.72</v>
      </c>
    </row>
    <row r="30" spans="1:6">
      <c r="A30" t="s">
        <v>34</v>
      </c>
      <c r="B30" t="s">
        <v>84</v>
      </c>
      <c r="C30" t="s">
        <v>106</v>
      </c>
      <c r="D30">
        <v>236</v>
      </c>
      <c r="E30">
        <v>472</v>
      </c>
      <c r="F30">
        <v>46.84</v>
      </c>
    </row>
    <row r="31" spans="1:6">
      <c r="A31" t="s">
        <v>35</v>
      </c>
      <c r="B31" t="s">
        <v>85</v>
      </c>
      <c r="C31" t="s">
        <v>109</v>
      </c>
      <c r="D31">
        <v>441</v>
      </c>
      <c r="E31">
        <v>617.4</v>
      </c>
      <c r="F31">
        <v>2.46</v>
      </c>
    </row>
    <row r="32" spans="1:6">
      <c r="A32" t="s">
        <v>36</v>
      </c>
      <c r="B32" t="s">
        <v>86</v>
      </c>
      <c r="C32" t="s">
        <v>106</v>
      </c>
      <c r="D32">
        <v>631</v>
      </c>
      <c r="E32">
        <v>1262</v>
      </c>
      <c r="F32">
        <v>37.25</v>
      </c>
    </row>
    <row r="33" spans="1:6">
      <c r="A33" t="s">
        <v>37</v>
      </c>
      <c r="B33" t="s">
        <v>87</v>
      </c>
      <c r="C33" t="s">
        <v>106</v>
      </c>
      <c r="D33">
        <v>408</v>
      </c>
      <c r="E33">
        <v>816</v>
      </c>
      <c r="F33">
        <v>26.73</v>
      </c>
    </row>
    <row r="34" spans="1:6">
      <c r="A34" t="s">
        <v>38</v>
      </c>
      <c r="B34" t="s">
        <v>88</v>
      </c>
      <c r="C34" t="s">
        <v>109</v>
      </c>
      <c r="D34">
        <v>269</v>
      </c>
      <c r="E34">
        <v>376.6</v>
      </c>
      <c r="F34">
        <v>0.71</v>
      </c>
    </row>
    <row r="35" spans="1:6">
      <c r="A35" t="s">
        <v>39</v>
      </c>
      <c r="B35" t="s">
        <v>89</v>
      </c>
      <c r="C35" t="s">
        <v>107</v>
      </c>
      <c r="D35">
        <v>34</v>
      </c>
      <c r="E35">
        <v>102</v>
      </c>
      <c r="F35">
        <v>0.53</v>
      </c>
    </row>
    <row r="36" spans="1:6">
      <c r="A36" t="s">
        <v>40</v>
      </c>
      <c r="B36" t="s">
        <v>90</v>
      </c>
      <c r="C36" t="s">
        <v>106</v>
      </c>
      <c r="D36">
        <v>215</v>
      </c>
      <c r="E36">
        <v>430</v>
      </c>
      <c r="F36">
        <v>15.59</v>
      </c>
    </row>
    <row r="37" spans="1:6">
      <c r="A37" t="s">
        <v>41</v>
      </c>
      <c r="B37" t="s">
        <v>91</v>
      </c>
      <c r="C37" t="s">
        <v>109</v>
      </c>
      <c r="D37">
        <v>482</v>
      </c>
      <c r="E37">
        <v>674.8</v>
      </c>
      <c r="F37">
        <v>0.9399999999999999</v>
      </c>
    </row>
    <row r="38" spans="1:6">
      <c r="A38" t="s">
        <v>42</v>
      </c>
      <c r="B38" t="s">
        <v>92</v>
      </c>
      <c r="C38" t="s">
        <v>109</v>
      </c>
      <c r="D38">
        <v>74</v>
      </c>
      <c r="E38">
        <v>103.6</v>
      </c>
      <c r="F38">
        <v>3.05</v>
      </c>
    </row>
    <row r="39" spans="1:6">
      <c r="A39" t="s">
        <v>43</v>
      </c>
      <c r="B39" t="s">
        <v>93</v>
      </c>
      <c r="C39" t="s">
        <v>107</v>
      </c>
      <c r="D39">
        <v>13</v>
      </c>
      <c r="E39">
        <v>39</v>
      </c>
      <c r="F39">
        <v>1</v>
      </c>
    </row>
    <row r="40" spans="1:6">
      <c r="A40" t="s">
        <v>44</v>
      </c>
      <c r="B40" t="s">
        <v>94</v>
      </c>
      <c r="C40" t="s">
        <v>109</v>
      </c>
      <c r="D40">
        <v>489</v>
      </c>
      <c r="E40">
        <v>684.6</v>
      </c>
      <c r="F40">
        <v>4.73</v>
      </c>
    </row>
    <row r="41" spans="1:6">
      <c r="A41" t="s">
        <v>45</v>
      </c>
      <c r="B41" t="s">
        <v>95</v>
      </c>
      <c r="C41" t="s">
        <v>107</v>
      </c>
      <c r="D41">
        <v>25</v>
      </c>
      <c r="E41">
        <v>75</v>
      </c>
      <c r="F41">
        <v>0.79</v>
      </c>
    </row>
    <row r="42" spans="1:6">
      <c r="A42" t="s">
        <v>46</v>
      </c>
      <c r="B42" t="s">
        <v>96</v>
      </c>
      <c r="C42" t="s">
        <v>108</v>
      </c>
      <c r="D42">
        <v>92</v>
      </c>
      <c r="E42">
        <v>230</v>
      </c>
      <c r="F42">
        <v>6.72</v>
      </c>
    </row>
    <row r="43" spans="1:6">
      <c r="A43" t="s">
        <v>47</v>
      </c>
      <c r="B43" t="s">
        <v>97</v>
      </c>
      <c r="C43" t="s">
        <v>107</v>
      </c>
      <c r="D43">
        <v>22</v>
      </c>
      <c r="E43">
        <v>66</v>
      </c>
      <c r="F43">
        <v>0.42</v>
      </c>
    </row>
    <row r="44" spans="1:6">
      <c r="A44" t="s">
        <v>48</v>
      </c>
      <c r="B44" t="s">
        <v>98</v>
      </c>
      <c r="C44" t="s">
        <v>108</v>
      </c>
      <c r="D44">
        <v>59</v>
      </c>
      <c r="E44">
        <v>147.5</v>
      </c>
      <c r="F44">
        <v>3.85</v>
      </c>
    </row>
    <row r="45" spans="1:6">
      <c r="A45" t="s">
        <v>49</v>
      </c>
      <c r="B45" t="s">
        <v>99</v>
      </c>
      <c r="C45" t="s">
        <v>108</v>
      </c>
      <c r="D45">
        <v>16</v>
      </c>
      <c r="E45">
        <v>40</v>
      </c>
      <c r="F45">
        <v>6.61</v>
      </c>
    </row>
    <row r="46" spans="1:6">
      <c r="A46" t="s">
        <v>50</v>
      </c>
      <c r="B46" t="s">
        <v>100</v>
      </c>
      <c r="C46" t="s">
        <v>106</v>
      </c>
      <c r="D46">
        <v>454</v>
      </c>
      <c r="E46">
        <v>908</v>
      </c>
      <c r="F46">
        <v>38.35</v>
      </c>
    </row>
    <row r="47" spans="1:6">
      <c r="A47" t="s">
        <v>51</v>
      </c>
      <c r="B47" t="s">
        <v>101</v>
      </c>
      <c r="C47" t="s">
        <v>109</v>
      </c>
      <c r="D47">
        <v>260</v>
      </c>
      <c r="E47">
        <v>364</v>
      </c>
      <c r="F47">
        <v>1.68</v>
      </c>
    </row>
    <row r="48" spans="1:6">
      <c r="A48" t="s">
        <v>52</v>
      </c>
      <c r="B48" t="s">
        <v>102</v>
      </c>
      <c r="C48" t="s">
        <v>109</v>
      </c>
      <c r="D48">
        <v>327</v>
      </c>
      <c r="E48">
        <v>457.8</v>
      </c>
      <c r="F48">
        <v>4.19</v>
      </c>
    </row>
    <row r="49" spans="1:6">
      <c r="A49" t="s">
        <v>53</v>
      </c>
      <c r="B49" t="s">
        <v>103</v>
      </c>
      <c r="C49" t="s">
        <v>109</v>
      </c>
      <c r="D49">
        <v>466</v>
      </c>
      <c r="E49">
        <v>652.4</v>
      </c>
      <c r="F49">
        <v>3.2</v>
      </c>
    </row>
    <row r="50" spans="1:6">
      <c r="A50" t="s">
        <v>54</v>
      </c>
      <c r="B50" t="s">
        <v>104</v>
      </c>
      <c r="C50" t="s">
        <v>109</v>
      </c>
      <c r="D50">
        <v>134</v>
      </c>
      <c r="E50">
        <v>187.6</v>
      </c>
      <c r="F50">
        <v>4.4</v>
      </c>
    </row>
    <row r="51" spans="1:6">
      <c r="A51" t="s">
        <v>55</v>
      </c>
      <c r="B51" t="s">
        <v>105</v>
      </c>
      <c r="C51" t="s">
        <v>110</v>
      </c>
      <c r="D51">
        <v>51</v>
      </c>
      <c r="E51">
        <v>91.8</v>
      </c>
      <c r="F51">
        <v>18.32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26" width="15.7109375" customWidth="1"/>
  </cols>
  <sheetData>
    <row r="1" spans="1:3">
      <c r="A1" s="1" t="s">
        <v>111</v>
      </c>
      <c r="B1" s="1" t="s">
        <v>112</v>
      </c>
      <c r="C1" s="1" t="s">
        <v>113</v>
      </c>
    </row>
    <row r="2" spans="1:3">
      <c r="A2" t="s">
        <v>114</v>
      </c>
      <c r="B2">
        <v>5</v>
      </c>
      <c r="C2">
        <v>0.5</v>
      </c>
    </row>
    <row r="3" spans="1:3">
      <c r="A3" t="s">
        <v>115</v>
      </c>
      <c r="B3">
        <v>12.5</v>
      </c>
      <c r="C3">
        <v>1.25</v>
      </c>
    </row>
    <row r="4" spans="1:3">
      <c r="A4" t="s">
        <v>116</v>
      </c>
      <c r="B4">
        <v>25</v>
      </c>
      <c r="C4">
        <v>2.5</v>
      </c>
    </row>
    <row r="5" spans="1:3">
      <c r="A5" t="s">
        <v>117</v>
      </c>
      <c r="B5">
        <v>50</v>
      </c>
      <c r="C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26" width="15.7109375" customWidth="1"/>
  </cols>
  <sheetData>
    <row r="1" spans="1:3">
      <c r="A1" s="1" t="s">
        <v>118</v>
      </c>
      <c r="B1" s="1" t="s">
        <v>119</v>
      </c>
      <c r="C1" s="1" t="s">
        <v>120</v>
      </c>
    </row>
    <row r="2" spans="1:3">
      <c r="A2">
        <v>0</v>
      </c>
      <c r="B2">
        <v>9</v>
      </c>
      <c r="C2">
        <v>0</v>
      </c>
    </row>
    <row r="3" spans="1:3">
      <c r="A3">
        <v>10</v>
      </c>
      <c r="B3">
        <v>24</v>
      </c>
      <c r="C3">
        <v>0.05</v>
      </c>
    </row>
    <row r="4" spans="1:3">
      <c r="A4">
        <v>25</v>
      </c>
      <c r="B4">
        <v>49</v>
      </c>
      <c r="C4">
        <v>0.1</v>
      </c>
    </row>
    <row r="5" spans="1:3">
      <c r="A5">
        <v>50</v>
      </c>
      <c r="B5">
        <v>99</v>
      </c>
      <c r="C5">
        <v>0.15</v>
      </c>
    </row>
    <row r="6" spans="1:3">
      <c r="A6">
        <v>100</v>
      </c>
      <c r="B6">
        <v>9999</v>
      </c>
      <c r="C6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01"/>
  <sheetViews>
    <sheetView workbookViewId="0"/>
  </sheetViews>
  <sheetFormatPr defaultRowHeight="15"/>
  <cols>
    <col min="1" max="26" width="15.7109375" customWidth="1"/>
  </cols>
  <sheetData>
    <row r="1" spans="1:17">
      <c r="A1" s="1" t="s">
        <v>121</v>
      </c>
      <c r="B1" s="1" t="s">
        <v>122</v>
      </c>
      <c r="C1" s="1" t="s">
        <v>0</v>
      </c>
      <c r="D1" s="1" t="s">
        <v>123</v>
      </c>
      <c r="E1" s="1" t="s">
        <v>111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</row>
    <row r="2" spans="1:17">
      <c r="A2" t="s">
        <v>136</v>
      </c>
      <c r="B2" t="s">
        <v>436</v>
      </c>
      <c r="C2" t="s">
        <v>47</v>
      </c>
      <c r="D2">
        <v>8</v>
      </c>
      <c r="E2" t="s">
        <v>115</v>
      </c>
      <c r="F2" s="2">
        <f>VLOOKUP(C2, Products!A:F, 4, FALSE)</f>
        <v>0</v>
      </c>
      <c r="G2" s="2">
        <f>VLOOKUP(C2, Products!A:F, 5, FALSE)</f>
        <v>0</v>
      </c>
      <c r="H2" s="3">
        <f>VLOOKUP(C2, Products!A:F, 6, FALSE)</f>
        <v>0</v>
      </c>
      <c r="I2" s="2">
        <f>G2 * D2</f>
        <v>0</v>
      </c>
      <c r="J2" s="4">
        <f>VLOOKUP(D2, Volume_Discounts!A:C, 3, TRUE)</f>
        <v>0</v>
      </c>
      <c r="K2" s="2">
        <f>I2 * (1 - J2)</f>
        <v>0</v>
      </c>
      <c r="L2" s="3">
        <f>H2 * D2</f>
        <v>0</v>
      </c>
      <c r="M2" s="2">
        <f>VLOOKUP(E2, Shipping_Zones!A:C, 2, FALSE)</f>
        <v>0</v>
      </c>
      <c r="N2" s="2">
        <f>VLOOKUP(E2, Shipping_Zones!A:C, 3, FALSE)</f>
        <v>0</v>
      </c>
      <c r="O2" s="2">
        <f>M2 + (N2 * L2)</f>
        <v>0</v>
      </c>
      <c r="P2" s="2">
        <f>(F2 * D2) + O2</f>
        <v>0</v>
      </c>
      <c r="Q2" s="2">
        <f>K2 - P2</f>
        <v>0</v>
      </c>
    </row>
    <row r="3" spans="1:17">
      <c r="A3" t="s">
        <v>137</v>
      </c>
      <c r="B3" t="s">
        <v>437</v>
      </c>
      <c r="C3" t="s">
        <v>49</v>
      </c>
      <c r="D3">
        <v>110</v>
      </c>
      <c r="E3" t="s">
        <v>115</v>
      </c>
      <c r="F3" s="2">
        <f>VLOOKUP(C3, Products!A:F, 4, FALSE)</f>
        <v>0</v>
      </c>
      <c r="G3" s="2">
        <f>VLOOKUP(C3, Products!A:F, 5, FALSE)</f>
        <v>0</v>
      </c>
      <c r="H3" s="3">
        <f>VLOOKUP(C3, Products!A:F, 6, FALSE)</f>
        <v>0</v>
      </c>
      <c r="I3" s="2">
        <f>G3 * D3</f>
        <v>0</v>
      </c>
      <c r="J3" s="4">
        <f>VLOOKUP(D3, Volume_Discounts!A:C, 3, TRUE)</f>
        <v>0</v>
      </c>
      <c r="K3" s="2">
        <f>I3 * (1 - J3)</f>
        <v>0</v>
      </c>
      <c r="L3" s="3">
        <f>H3 * D3</f>
        <v>0</v>
      </c>
      <c r="M3" s="2">
        <f>VLOOKUP(E3, Shipping_Zones!A:C, 2, FALSE)</f>
        <v>0</v>
      </c>
      <c r="N3" s="2">
        <f>VLOOKUP(E3, Shipping_Zones!A:C, 3, FALSE)</f>
        <v>0</v>
      </c>
      <c r="O3" s="2">
        <f>M3 + (N3 * L3)</f>
        <v>0</v>
      </c>
      <c r="P3" s="2">
        <f>(F3 * D3) + O3</f>
        <v>0</v>
      </c>
      <c r="Q3" s="2">
        <f>K3 - P3</f>
        <v>0</v>
      </c>
    </row>
    <row r="4" spans="1:17">
      <c r="A4" t="s">
        <v>138</v>
      </c>
      <c r="B4" t="s">
        <v>438</v>
      </c>
      <c r="C4" t="s">
        <v>51</v>
      </c>
      <c r="D4">
        <v>62</v>
      </c>
      <c r="E4" t="s">
        <v>115</v>
      </c>
      <c r="F4" s="2">
        <f>VLOOKUP(C4, Products!A:F, 4, FALSE)</f>
        <v>0</v>
      </c>
      <c r="G4" s="2">
        <f>VLOOKUP(C4, Products!A:F, 5, FALSE)</f>
        <v>0</v>
      </c>
      <c r="H4" s="3">
        <f>VLOOKUP(C4, Products!A:F, 6, FALSE)</f>
        <v>0</v>
      </c>
      <c r="I4" s="2">
        <f>G4 * D4</f>
        <v>0</v>
      </c>
      <c r="J4" s="4">
        <f>VLOOKUP(D4, Volume_Discounts!A:C, 3, TRUE)</f>
        <v>0</v>
      </c>
      <c r="K4" s="2">
        <f>I4 * (1 - J4)</f>
        <v>0</v>
      </c>
      <c r="L4" s="3">
        <f>H4 * D4</f>
        <v>0</v>
      </c>
      <c r="M4" s="2">
        <f>VLOOKUP(E4, Shipping_Zones!A:C, 2, FALSE)</f>
        <v>0</v>
      </c>
      <c r="N4" s="2">
        <f>VLOOKUP(E4, Shipping_Zones!A:C, 3, FALSE)</f>
        <v>0</v>
      </c>
      <c r="O4" s="2">
        <f>M4 + (N4 * L4)</f>
        <v>0</v>
      </c>
      <c r="P4" s="2">
        <f>(F4 * D4) + O4</f>
        <v>0</v>
      </c>
      <c r="Q4" s="2">
        <f>K4 - P4</f>
        <v>0</v>
      </c>
    </row>
    <row r="5" spans="1:17">
      <c r="A5" t="s">
        <v>139</v>
      </c>
      <c r="B5" t="s">
        <v>439</v>
      </c>
      <c r="C5" t="s">
        <v>46</v>
      </c>
      <c r="D5">
        <v>12</v>
      </c>
      <c r="E5" t="s">
        <v>116</v>
      </c>
      <c r="F5" s="2">
        <f>VLOOKUP(C5, Products!A:F, 4, FALSE)</f>
        <v>0</v>
      </c>
      <c r="G5" s="2">
        <f>VLOOKUP(C5, Products!A:F, 5, FALSE)</f>
        <v>0</v>
      </c>
      <c r="H5" s="3">
        <f>VLOOKUP(C5, Products!A:F, 6, FALSE)</f>
        <v>0</v>
      </c>
      <c r="I5" s="2">
        <f>G5 * D5</f>
        <v>0</v>
      </c>
      <c r="J5" s="4">
        <f>VLOOKUP(D5, Volume_Discounts!A:C, 3, TRUE)</f>
        <v>0</v>
      </c>
      <c r="K5" s="2">
        <f>I5 * (1 - J5)</f>
        <v>0</v>
      </c>
      <c r="L5" s="3">
        <f>H5 * D5</f>
        <v>0</v>
      </c>
      <c r="M5" s="2">
        <f>VLOOKUP(E5, Shipping_Zones!A:C, 2, FALSE)</f>
        <v>0</v>
      </c>
      <c r="N5" s="2">
        <f>VLOOKUP(E5, Shipping_Zones!A:C, 3, FALSE)</f>
        <v>0</v>
      </c>
      <c r="O5" s="2">
        <f>M5 + (N5 * L5)</f>
        <v>0</v>
      </c>
      <c r="P5" s="2">
        <f>(F5 * D5) + O5</f>
        <v>0</v>
      </c>
      <c r="Q5" s="2">
        <f>K5 - P5</f>
        <v>0</v>
      </c>
    </row>
    <row r="6" spans="1:17">
      <c r="A6" t="s">
        <v>140</v>
      </c>
      <c r="B6" t="s">
        <v>440</v>
      </c>
      <c r="C6" t="s">
        <v>35</v>
      </c>
      <c r="D6">
        <v>54</v>
      </c>
      <c r="E6" t="s">
        <v>117</v>
      </c>
      <c r="F6" s="2">
        <f>VLOOKUP(C6, Products!A:F, 4, FALSE)</f>
        <v>0</v>
      </c>
      <c r="G6" s="2">
        <f>VLOOKUP(C6, Products!A:F, 5, FALSE)</f>
        <v>0</v>
      </c>
      <c r="H6" s="3">
        <f>VLOOKUP(C6, Products!A:F, 6, FALSE)</f>
        <v>0</v>
      </c>
      <c r="I6" s="2">
        <f>G6 * D6</f>
        <v>0</v>
      </c>
      <c r="J6" s="4">
        <f>VLOOKUP(D6, Volume_Discounts!A:C, 3, TRUE)</f>
        <v>0</v>
      </c>
      <c r="K6" s="2">
        <f>I6 * (1 - J6)</f>
        <v>0</v>
      </c>
      <c r="L6" s="3">
        <f>H6 * D6</f>
        <v>0</v>
      </c>
      <c r="M6" s="2">
        <f>VLOOKUP(E6, Shipping_Zones!A:C, 2, FALSE)</f>
        <v>0</v>
      </c>
      <c r="N6" s="2">
        <f>VLOOKUP(E6, Shipping_Zones!A:C, 3, FALSE)</f>
        <v>0</v>
      </c>
      <c r="O6" s="2">
        <f>M6 + (N6 * L6)</f>
        <v>0</v>
      </c>
      <c r="P6" s="2">
        <f>(F6 * D6) + O6</f>
        <v>0</v>
      </c>
      <c r="Q6" s="2">
        <f>K6 - P6</f>
        <v>0</v>
      </c>
    </row>
    <row r="7" spans="1:17">
      <c r="A7" t="s">
        <v>141</v>
      </c>
      <c r="B7" t="s">
        <v>441</v>
      </c>
      <c r="C7" t="s">
        <v>26</v>
      </c>
      <c r="D7">
        <v>8</v>
      </c>
      <c r="E7" t="s">
        <v>114</v>
      </c>
      <c r="F7" s="2">
        <f>VLOOKUP(C7, Products!A:F, 4, FALSE)</f>
        <v>0</v>
      </c>
      <c r="G7" s="2">
        <f>VLOOKUP(C7, Products!A:F, 5, FALSE)</f>
        <v>0</v>
      </c>
      <c r="H7" s="3">
        <f>VLOOKUP(C7, Products!A:F, 6, FALSE)</f>
        <v>0</v>
      </c>
      <c r="I7" s="2">
        <f>G7 * D7</f>
        <v>0</v>
      </c>
      <c r="J7" s="4">
        <f>VLOOKUP(D7, Volume_Discounts!A:C, 3, TRUE)</f>
        <v>0</v>
      </c>
      <c r="K7" s="2">
        <f>I7 * (1 - J7)</f>
        <v>0</v>
      </c>
      <c r="L7" s="3">
        <f>H7 * D7</f>
        <v>0</v>
      </c>
      <c r="M7" s="2">
        <f>VLOOKUP(E7, Shipping_Zones!A:C, 2, FALSE)</f>
        <v>0</v>
      </c>
      <c r="N7" s="2">
        <f>VLOOKUP(E7, Shipping_Zones!A:C, 3, FALSE)</f>
        <v>0</v>
      </c>
      <c r="O7" s="2">
        <f>M7 + (N7 * L7)</f>
        <v>0</v>
      </c>
      <c r="P7" s="2">
        <f>(F7 * D7) + O7</f>
        <v>0</v>
      </c>
      <c r="Q7" s="2">
        <f>K7 - P7</f>
        <v>0</v>
      </c>
    </row>
    <row r="8" spans="1:17">
      <c r="A8" t="s">
        <v>142</v>
      </c>
      <c r="B8" t="s">
        <v>442</v>
      </c>
      <c r="C8" t="s">
        <v>33</v>
      </c>
      <c r="D8">
        <v>101</v>
      </c>
      <c r="E8" t="s">
        <v>116</v>
      </c>
      <c r="F8" s="2">
        <f>VLOOKUP(C8, Products!A:F, 4, FALSE)</f>
        <v>0</v>
      </c>
      <c r="G8" s="2">
        <f>VLOOKUP(C8, Products!A:F, 5, FALSE)</f>
        <v>0</v>
      </c>
      <c r="H8" s="3">
        <f>VLOOKUP(C8, Products!A:F, 6, FALSE)</f>
        <v>0</v>
      </c>
      <c r="I8" s="2">
        <f>G8 * D8</f>
        <v>0</v>
      </c>
      <c r="J8" s="4">
        <f>VLOOKUP(D8, Volume_Discounts!A:C, 3, TRUE)</f>
        <v>0</v>
      </c>
      <c r="K8" s="2">
        <f>I8 * (1 - J8)</f>
        <v>0</v>
      </c>
      <c r="L8" s="3">
        <f>H8 * D8</f>
        <v>0</v>
      </c>
      <c r="M8" s="2">
        <f>VLOOKUP(E8, Shipping_Zones!A:C, 2, FALSE)</f>
        <v>0</v>
      </c>
      <c r="N8" s="2">
        <f>VLOOKUP(E8, Shipping_Zones!A:C, 3, FALSE)</f>
        <v>0</v>
      </c>
      <c r="O8" s="2">
        <f>M8 + (N8 * L8)</f>
        <v>0</v>
      </c>
      <c r="P8" s="2">
        <f>(F8 * D8) + O8</f>
        <v>0</v>
      </c>
      <c r="Q8" s="2">
        <f>K8 - P8</f>
        <v>0</v>
      </c>
    </row>
    <row r="9" spans="1:17">
      <c r="A9" t="s">
        <v>143</v>
      </c>
      <c r="B9" t="s">
        <v>443</v>
      </c>
      <c r="C9" t="s">
        <v>40</v>
      </c>
      <c r="D9">
        <v>75</v>
      </c>
      <c r="E9" t="s">
        <v>115</v>
      </c>
      <c r="F9" s="2">
        <f>VLOOKUP(C9, Products!A:F, 4, FALSE)</f>
        <v>0</v>
      </c>
      <c r="G9" s="2">
        <f>VLOOKUP(C9, Products!A:F, 5, FALSE)</f>
        <v>0</v>
      </c>
      <c r="H9" s="3">
        <f>VLOOKUP(C9, Products!A:F, 6, FALSE)</f>
        <v>0</v>
      </c>
      <c r="I9" s="2">
        <f>G9 * D9</f>
        <v>0</v>
      </c>
      <c r="J9" s="4">
        <f>VLOOKUP(D9, Volume_Discounts!A:C, 3, TRUE)</f>
        <v>0</v>
      </c>
      <c r="K9" s="2">
        <f>I9 * (1 - J9)</f>
        <v>0</v>
      </c>
      <c r="L9" s="3">
        <f>H9 * D9</f>
        <v>0</v>
      </c>
      <c r="M9" s="2">
        <f>VLOOKUP(E9, Shipping_Zones!A:C, 2, FALSE)</f>
        <v>0</v>
      </c>
      <c r="N9" s="2">
        <f>VLOOKUP(E9, Shipping_Zones!A:C, 3, FALSE)</f>
        <v>0</v>
      </c>
      <c r="O9" s="2">
        <f>M9 + (N9 * L9)</f>
        <v>0</v>
      </c>
      <c r="P9" s="2">
        <f>(F9 * D9) + O9</f>
        <v>0</v>
      </c>
      <c r="Q9" s="2">
        <f>K9 - P9</f>
        <v>0</v>
      </c>
    </row>
    <row r="10" spans="1:17">
      <c r="A10" t="s">
        <v>144</v>
      </c>
      <c r="B10" t="s">
        <v>444</v>
      </c>
      <c r="C10" t="s">
        <v>33</v>
      </c>
      <c r="D10">
        <v>105</v>
      </c>
      <c r="E10" t="s">
        <v>114</v>
      </c>
      <c r="F10" s="2">
        <f>VLOOKUP(C10, Products!A:F, 4, FALSE)</f>
        <v>0</v>
      </c>
      <c r="G10" s="2">
        <f>VLOOKUP(C10, Products!A:F, 5, FALSE)</f>
        <v>0</v>
      </c>
      <c r="H10" s="3">
        <f>VLOOKUP(C10, Products!A:F, 6, FALSE)</f>
        <v>0</v>
      </c>
      <c r="I10" s="2">
        <f>G10 * D10</f>
        <v>0</v>
      </c>
      <c r="J10" s="4">
        <f>VLOOKUP(D10, Volume_Discounts!A:C, 3, TRUE)</f>
        <v>0</v>
      </c>
      <c r="K10" s="2">
        <f>I10 * (1 - J10)</f>
        <v>0</v>
      </c>
      <c r="L10" s="3">
        <f>H10 * D10</f>
        <v>0</v>
      </c>
      <c r="M10" s="2">
        <f>VLOOKUP(E10, Shipping_Zones!A:C, 2, FALSE)</f>
        <v>0</v>
      </c>
      <c r="N10" s="2">
        <f>VLOOKUP(E10, Shipping_Zones!A:C, 3, FALSE)</f>
        <v>0</v>
      </c>
      <c r="O10" s="2">
        <f>M10 + (N10 * L10)</f>
        <v>0</v>
      </c>
      <c r="P10" s="2">
        <f>(F10 * D10) + O10</f>
        <v>0</v>
      </c>
      <c r="Q10" s="2">
        <f>K10 - P10</f>
        <v>0</v>
      </c>
    </row>
    <row r="11" spans="1:17">
      <c r="A11" t="s">
        <v>145</v>
      </c>
      <c r="B11" t="s">
        <v>445</v>
      </c>
      <c r="C11" t="s">
        <v>50</v>
      </c>
      <c r="D11">
        <v>58</v>
      </c>
      <c r="E11" t="s">
        <v>116</v>
      </c>
      <c r="F11" s="2">
        <f>VLOOKUP(C11, Products!A:F, 4, FALSE)</f>
        <v>0</v>
      </c>
      <c r="G11" s="2">
        <f>VLOOKUP(C11, Products!A:F, 5, FALSE)</f>
        <v>0</v>
      </c>
      <c r="H11" s="3">
        <f>VLOOKUP(C11, Products!A:F, 6, FALSE)</f>
        <v>0</v>
      </c>
      <c r="I11" s="2">
        <f>G11 * D11</f>
        <v>0</v>
      </c>
      <c r="J11" s="4">
        <f>VLOOKUP(D11, Volume_Discounts!A:C, 3, TRUE)</f>
        <v>0</v>
      </c>
      <c r="K11" s="2">
        <f>I11 * (1 - J11)</f>
        <v>0</v>
      </c>
      <c r="L11" s="3">
        <f>H11 * D11</f>
        <v>0</v>
      </c>
      <c r="M11" s="2">
        <f>VLOOKUP(E11, Shipping_Zones!A:C, 2, FALSE)</f>
        <v>0</v>
      </c>
      <c r="N11" s="2">
        <f>VLOOKUP(E11, Shipping_Zones!A:C, 3, FALSE)</f>
        <v>0</v>
      </c>
      <c r="O11" s="2">
        <f>M11 + (N11 * L11)</f>
        <v>0</v>
      </c>
      <c r="P11" s="2">
        <f>(F11 * D11) + O11</f>
        <v>0</v>
      </c>
      <c r="Q11" s="2">
        <f>K11 - P11</f>
        <v>0</v>
      </c>
    </row>
    <row r="12" spans="1:17">
      <c r="A12" t="s">
        <v>146</v>
      </c>
      <c r="B12" t="s">
        <v>446</v>
      </c>
      <c r="C12" t="s">
        <v>24</v>
      </c>
      <c r="D12">
        <v>109</v>
      </c>
      <c r="E12" t="s">
        <v>114</v>
      </c>
      <c r="F12" s="2">
        <f>VLOOKUP(C12, Products!A:F, 4, FALSE)</f>
        <v>0</v>
      </c>
      <c r="G12" s="2">
        <f>VLOOKUP(C12, Products!A:F, 5, FALSE)</f>
        <v>0</v>
      </c>
      <c r="H12" s="3">
        <f>VLOOKUP(C12, Products!A:F, 6, FALSE)</f>
        <v>0</v>
      </c>
      <c r="I12" s="2">
        <f>G12 * D12</f>
        <v>0</v>
      </c>
      <c r="J12" s="4">
        <f>VLOOKUP(D12, Volume_Discounts!A:C, 3, TRUE)</f>
        <v>0</v>
      </c>
      <c r="K12" s="2">
        <f>I12 * (1 - J12)</f>
        <v>0</v>
      </c>
      <c r="L12" s="3">
        <f>H12 * D12</f>
        <v>0</v>
      </c>
      <c r="M12" s="2">
        <f>VLOOKUP(E12, Shipping_Zones!A:C, 2, FALSE)</f>
        <v>0</v>
      </c>
      <c r="N12" s="2">
        <f>VLOOKUP(E12, Shipping_Zones!A:C, 3, FALSE)</f>
        <v>0</v>
      </c>
      <c r="O12" s="2">
        <f>M12 + (N12 * L12)</f>
        <v>0</v>
      </c>
      <c r="P12" s="2">
        <f>(F12 * D12) + O12</f>
        <v>0</v>
      </c>
      <c r="Q12" s="2">
        <f>K12 - P12</f>
        <v>0</v>
      </c>
    </row>
    <row r="13" spans="1:17">
      <c r="A13" t="s">
        <v>147</v>
      </c>
      <c r="B13" t="s">
        <v>447</v>
      </c>
      <c r="C13" t="s">
        <v>44</v>
      </c>
      <c r="D13">
        <v>7</v>
      </c>
      <c r="E13" t="s">
        <v>117</v>
      </c>
      <c r="F13" s="2">
        <f>VLOOKUP(C13, Products!A:F, 4, FALSE)</f>
        <v>0</v>
      </c>
      <c r="G13" s="2">
        <f>VLOOKUP(C13, Products!A:F, 5, FALSE)</f>
        <v>0</v>
      </c>
      <c r="H13" s="3">
        <f>VLOOKUP(C13, Products!A:F, 6, FALSE)</f>
        <v>0</v>
      </c>
      <c r="I13" s="2">
        <f>G13 * D13</f>
        <v>0</v>
      </c>
      <c r="J13" s="4">
        <f>VLOOKUP(D13, Volume_Discounts!A:C, 3, TRUE)</f>
        <v>0</v>
      </c>
      <c r="K13" s="2">
        <f>I13 * (1 - J13)</f>
        <v>0</v>
      </c>
      <c r="L13" s="3">
        <f>H13 * D13</f>
        <v>0</v>
      </c>
      <c r="M13" s="2">
        <f>VLOOKUP(E13, Shipping_Zones!A:C, 2, FALSE)</f>
        <v>0</v>
      </c>
      <c r="N13" s="2">
        <f>VLOOKUP(E13, Shipping_Zones!A:C, 3, FALSE)</f>
        <v>0</v>
      </c>
      <c r="O13" s="2">
        <f>M13 + (N13 * L13)</f>
        <v>0</v>
      </c>
      <c r="P13" s="2">
        <f>(F13 * D13) + O13</f>
        <v>0</v>
      </c>
      <c r="Q13" s="2">
        <f>K13 - P13</f>
        <v>0</v>
      </c>
    </row>
    <row r="14" spans="1:17">
      <c r="A14" t="s">
        <v>148</v>
      </c>
      <c r="B14" t="s">
        <v>448</v>
      </c>
      <c r="C14" t="s">
        <v>27</v>
      </c>
      <c r="D14">
        <v>9</v>
      </c>
      <c r="E14" t="s">
        <v>114</v>
      </c>
      <c r="F14" s="2">
        <f>VLOOKUP(C14, Products!A:F, 4, FALSE)</f>
        <v>0</v>
      </c>
      <c r="G14" s="2">
        <f>VLOOKUP(C14, Products!A:F, 5, FALSE)</f>
        <v>0</v>
      </c>
      <c r="H14" s="3">
        <f>VLOOKUP(C14, Products!A:F, 6, FALSE)</f>
        <v>0</v>
      </c>
      <c r="I14" s="2">
        <f>G14 * D14</f>
        <v>0</v>
      </c>
      <c r="J14" s="4">
        <f>VLOOKUP(D14, Volume_Discounts!A:C, 3, TRUE)</f>
        <v>0</v>
      </c>
      <c r="K14" s="2">
        <f>I14 * (1 - J14)</f>
        <v>0</v>
      </c>
      <c r="L14" s="3">
        <f>H14 * D14</f>
        <v>0</v>
      </c>
      <c r="M14" s="2">
        <f>VLOOKUP(E14, Shipping_Zones!A:C, 2, FALSE)</f>
        <v>0</v>
      </c>
      <c r="N14" s="2">
        <f>VLOOKUP(E14, Shipping_Zones!A:C, 3, FALSE)</f>
        <v>0</v>
      </c>
      <c r="O14" s="2">
        <f>M14 + (N14 * L14)</f>
        <v>0</v>
      </c>
      <c r="P14" s="2">
        <f>(F14 * D14) + O14</f>
        <v>0</v>
      </c>
      <c r="Q14" s="2">
        <f>K14 - P14</f>
        <v>0</v>
      </c>
    </row>
    <row r="15" spans="1:17">
      <c r="A15" t="s">
        <v>149</v>
      </c>
      <c r="B15" t="s">
        <v>449</v>
      </c>
      <c r="C15" t="s">
        <v>6</v>
      </c>
      <c r="D15">
        <v>113</v>
      </c>
      <c r="E15" t="s">
        <v>117</v>
      </c>
      <c r="F15" s="2">
        <f>VLOOKUP(C15, Products!A:F, 4, FALSE)</f>
        <v>0</v>
      </c>
      <c r="G15" s="2">
        <f>VLOOKUP(C15, Products!A:F, 5, FALSE)</f>
        <v>0</v>
      </c>
      <c r="H15" s="3">
        <f>VLOOKUP(C15, Products!A:F, 6, FALSE)</f>
        <v>0</v>
      </c>
      <c r="I15" s="2">
        <f>G15 * D15</f>
        <v>0</v>
      </c>
      <c r="J15" s="4">
        <f>VLOOKUP(D15, Volume_Discounts!A:C, 3, TRUE)</f>
        <v>0</v>
      </c>
      <c r="K15" s="2">
        <f>I15 * (1 - J15)</f>
        <v>0</v>
      </c>
      <c r="L15" s="3">
        <f>H15 * D15</f>
        <v>0</v>
      </c>
      <c r="M15" s="2">
        <f>VLOOKUP(E15, Shipping_Zones!A:C, 2, FALSE)</f>
        <v>0</v>
      </c>
      <c r="N15" s="2">
        <f>VLOOKUP(E15, Shipping_Zones!A:C, 3, FALSE)</f>
        <v>0</v>
      </c>
      <c r="O15" s="2">
        <f>M15 + (N15 * L15)</f>
        <v>0</v>
      </c>
      <c r="P15" s="2">
        <f>(F15 * D15) + O15</f>
        <v>0</v>
      </c>
      <c r="Q15" s="2">
        <f>K15 - P15</f>
        <v>0</v>
      </c>
    </row>
    <row r="16" spans="1:17">
      <c r="A16" t="s">
        <v>150</v>
      </c>
      <c r="B16" t="s">
        <v>450</v>
      </c>
      <c r="C16" t="s">
        <v>40</v>
      </c>
      <c r="D16">
        <v>88</v>
      </c>
      <c r="E16" t="s">
        <v>117</v>
      </c>
      <c r="F16" s="2">
        <f>VLOOKUP(C16, Products!A:F, 4, FALSE)</f>
        <v>0</v>
      </c>
      <c r="G16" s="2">
        <f>VLOOKUP(C16, Products!A:F, 5, FALSE)</f>
        <v>0</v>
      </c>
      <c r="H16" s="3">
        <f>VLOOKUP(C16, Products!A:F, 6, FALSE)</f>
        <v>0</v>
      </c>
      <c r="I16" s="2">
        <f>G16 * D16</f>
        <v>0</v>
      </c>
      <c r="J16" s="4">
        <f>VLOOKUP(D16, Volume_Discounts!A:C, 3, TRUE)</f>
        <v>0</v>
      </c>
      <c r="K16" s="2">
        <f>I16 * (1 - J16)</f>
        <v>0</v>
      </c>
      <c r="L16" s="3">
        <f>H16 * D16</f>
        <v>0</v>
      </c>
      <c r="M16" s="2">
        <f>VLOOKUP(E16, Shipping_Zones!A:C, 2, FALSE)</f>
        <v>0</v>
      </c>
      <c r="N16" s="2">
        <f>VLOOKUP(E16, Shipping_Zones!A:C, 3, FALSE)</f>
        <v>0</v>
      </c>
      <c r="O16" s="2">
        <f>M16 + (N16 * L16)</f>
        <v>0</v>
      </c>
      <c r="P16" s="2">
        <f>(F16 * D16) + O16</f>
        <v>0</v>
      </c>
      <c r="Q16" s="2">
        <f>K16 - P16</f>
        <v>0</v>
      </c>
    </row>
    <row r="17" spans="1:17">
      <c r="A17" t="s">
        <v>151</v>
      </c>
      <c r="B17" t="s">
        <v>451</v>
      </c>
      <c r="C17" t="s">
        <v>54</v>
      </c>
      <c r="D17">
        <v>104</v>
      </c>
      <c r="E17" t="s">
        <v>115</v>
      </c>
      <c r="F17" s="2">
        <f>VLOOKUP(C17, Products!A:F, 4, FALSE)</f>
        <v>0</v>
      </c>
      <c r="G17" s="2">
        <f>VLOOKUP(C17, Products!A:F, 5, FALSE)</f>
        <v>0</v>
      </c>
      <c r="H17" s="3">
        <f>VLOOKUP(C17, Products!A:F, 6, FALSE)</f>
        <v>0</v>
      </c>
      <c r="I17" s="2">
        <f>G17 * D17</f>
        <v>0</v>
      </c>
      <c r="J17" s="4">
        <f>VLOOKUP(D17, Volume_Discounts!A:C, 3, TRUE)</f>
        <v>0</v>
      </c>
      <c r="K17" s="2">
        <f>I17 * (1 - J17)</f>
        <v>0</v>
      </c>
      <c r="L17" s="3">
        <f>H17 * D17</f>
        <v>0</v>
      </c>
      <c r="M17" s="2">
        <f>VLOOKUP(E17, Shipping_Zones!A:C, 2, FALSE)</f>
        <v>0</v>
      </c>
      <c r="N17" s="2">
        <f>VLOOKUP(E17, Shipping_Zones!A:C, 3, FALSE)</f>
        <v>0</v>
      </c>
      <c r="O17" s="2">
        <f>M17 + (N17 * L17)</f>
        <v>0</v>
      </c>
      <c r="P17" s="2">
        <f>(F17 * D17) + O17</f>
        <v>0</v>
      </c>
      <c r="Q17" s="2">
        <f>K17 - P17</f>
        <v>0</v>
      </c>
    </row>
    <row r="18" spans="1:17">
      <c r="A18" t="s">
        <v>152</v>
      </c>
      <c r="B18" t="s">
        <v>452</v>
      </c>
      <c r="C18" t="s">
        <v>44</v>
      </c>
      <c r="D18">
        <v>95</v>
      </c>
      <c r="E18" t="s">
        <v>115</v>
      </c>
      <c r="F18" s="2">
        <f>VLOOKUP(C18, Products!A:F, 4, FALSE)</f>
        <v>0</v>
      </c>
      <c r="G18" s="2">
        <f>VLOOKUP(C18, Products!A:F, 5, FALSE)</f>
        <v>0</v>
      </c>
      <c r="H18" s="3">
        <f>VLOOKUP(C18, Products!A:F, 6, FALSE)</f>
        <v>0</v>
      </c>
      <c r="I18" s="2">
        <f>G18 * D18</f>
        <v>0</v>
      </c>
      <c r="J18" s="4">
        <f>VLOOKUP(D18, Volume_Discounts!A:C, 3, TRUE)</f>
        <v>0</v>
      </c>
      <c r="K18" s="2">
        <f>I18 * (1 - J18)</f>
        <v>0</v>
      </c>
      <c r="L18" s="3">
        <f>H18 * D18</f>
        <v>0</v>
      </c>
      <c r="M18" s="2">
        <f>VLOOKUP(E18, Shipping_Zones!A:C, 2, FALSE)</f>
        <v>0</v>
      </c>
      <c r="N18" s="2">
        <f>VLOOKUP(E18, Shipping_Zones!A:C, 3, FALSE)</f>
        <v>0</v>
      </c>
      <c r="O18" s="2">
        <f>M18 + (N18 * L18)</f>
        <v>0</v>
      </c>
      <c r="P18" s="2">
        <f>(F18 * D18) + O18</f>
        <v>0</v>
      </c>
      <c r="Q18" s="2">
        <f>K18 - P18</f>
        <v>0</v>
      </c>
    </row>
    <row r="19" spans="1:17">
      <c r="A19" t="s">
        <v>153</v>
      </c>
      <c r="B19" t="s">
        <v>453</v>
      </c>
      <c r="C19" t="s">
        <v>52</v>
      </c>
      <c r="D19">
        <v>51</v>
      </c>
      <c r="E19" t="s">
        <v>116</v>
      </c>
      <c r="F19" s="2">
        <f>VLOOKUP(C19, Products!A:F, 4, FALSE)</f>
        <v>0</v>
      </c>
      <c r="G19" s="2">
        <f>VLOOKUP(C19, Products!A:F, 5, FALSE)</f>
        <v>0</v>
      </c>
      <c r="H19" s="3">
        <f>VLOOKUP(C19, Products!A:F, 6, FALSE)</f>
        <v>0</v>
      </c>
      <c r="I19" s="2">
        <f>G19 * D19</f>
        <v>0</v>
      </c>
      <c r="J19" s="4">
        <f>VLOOKUP(D19, Volume_Discounts!A:C, 3, TRUE)</f>
        <v>0</v>
      </c>
      <c r="K19" s="2">
        <f>I19 * (1 - J19)</f>
        <v>0</v>
      </c>
      <c r="L19" s="3">
        <f>H19 * D19</f>
        <v>0</v>
      </c>
      <c r="M19" s="2">
        <f>VLOOKUP(E19, Shipping_Zones!A:C, 2, FALSE)</f>
        <v>0</v>
      </c>
      <c r="N19" s="2">
        <f>VLOOKUP(E19, Shipping_Zones!A:C, 3, FALSE)</f>
        <v>0</v>
      </c>
      <c r="O19" s="2">
        <f>M19 + (N19 * L19)</f>
        <v>0</v>
      </c>
      <c r="P19" s="2">
        <f>(F19 * D19) + O19</f>
        <v>0</v>
      </c>
      <c r="Q19" s="2">
        <f>K19 - P19</f>
        <v>0</v>
      </c>
    </row>
    <row r="20" spans="1:17">
      <c r="A20" t="s">
        <v>154</v>
      </c>
      <c r="B20" t="s">
        <v>454</v>
      </c>
      <c r="C20" t="s">
        <v>33</v>
      </c>
      <c r="D20">
        <v>62</v>
      </c>
      <c r="E20" t="s">
        <v>115</v>
      </c>
      <c r="F20" s="2">
        <f>VLOOKUP(C20, Products!A:F, 4, FALSE)</f>
        <v>0</v>
      </c>
      <c r="G20" s="2">
        <f>VLOOKUP(C20, Products!A:F, 5, FALSE)</f>
        <v>0</v>
      </c>
      <c r="H20" s="3">
        <f>VLOOKUP(C20, Products!A:F, 6, FALSE)</f>
        <v>0</v>
      </c>
      <c r="I20" s="2">
        <f>G20 * D20</f>
        <v>0</v>
      </c>
      <c r="J20" s="4">
        <f>VLOOKUP(D20, Volume_Discounts!A:C, 3, TRUE)</f>
        <v>0</v>
      </c>
      <c r="K20" s="2">
        <f>I20 * (1 - J20)</f>
        <v>0</v>
      </c>
      <c r="L20" s="3">
        <f>H20 * D20</f>
        <v>0</v>
      </c>
      <c r="M20" s="2">
        <f>VLOOKUP(E20, Shipping_Zones!A:C, 2, FALSE)</f>
        <v>0</v>
      </c>
      <c r="N20" s="2">
        <f>VLOOKUP(E20, Shipping_Zones!A:C, 3, FALSE)</f>
        <v>0</v>
      </c>
      <c r="O20" s="2">
        <f>M20 + (N20 * L20)</f>
        <v>0</v>
      </c>
      <c r="P20" s="2">
        <f>(F20 * D20) + O20</f>
        <v>0</v>
      </c>
      <c r="Q20" s="2">
        <f>K20 - P20</f>
        <v>0</v>
      </c>
    </row>
    <row r="21" spans="1:17">
      <c r="A21" t="s">
        <v>155</v>
      </c>
      <c r="B21" t="s">
        <v>455</v>
      </c>
      <c r="C21" t="s">
        <v>28</v>
      </c>
      <c r="D21">
        <v>20</v>
      </c>
      <c r="E21" t="s">
        <v>116</v>
      </c>
      <c r="F21" s="2">
        <f>VLOOKUP(C21, Products!A:F, 4, FALSE)</f>
        <v>0</v>
      </c>
      <c r="G21" s="2">
        <f>VLOOKUP(C21, Products!A:F, 5, FALSE)</f>
        <v>0</v>
      </c>
      <c r="H21" s="3">
        <f>VLOOKUP(C21, Products!A:F, 6, FALSE)</f>
        <v>0</v>
      </c>
      <c r="I21" s="2">
        <f>G21 * D21</f>
        <v>0</v>
      </c>
      <c r="J21" s="4">
        <f>VLOOKUP(D21, Volume_Discounts!A:C, 3, TRUE)</f>
        <v>0</v>
      </c>
      <c r="K21" s="2">
        <f>I21 * (1 - J21)</f>
        <v>0</v>
      </c>
      <c r="L21" s="3">
        <f>H21 * D21</f>
        <v>0</v>
      </c>
      <c r="M21" s="2">
        <f>VLOOKUP(E21, Shipping_Zones!A:C, 2, FALSE)</f>
        <v>0</v>
      </c>
      <c r="N21" s="2">
        <f>VLOOKUP(E21, Shipping_Zones!A:C, 3, FALSE)</f>
        <v>0</v>
      </c>
      <c r="O21" s="2">
        <f>M21 + (N21 * L21)</f>
        <v>0</v>
      </c>
      <c r="P21" s="2">
        <f>(F21 * D21) + O21</f>
        <v>0</v>
      </c>
      <c r="Q21" s="2">
        <f>K21 - P21</f>
        <v>0</v>
      </c>
    </row>
    <row r="22" spans="1:17">
      <c r="A22" t="s">
        <v>156</v>
      </c>
      <c r="B22" t="s">
        <v>456</v>
      </c>
      <c r="C22" t="s">
        <v>55</v>
      </c>
      <c r="D22">
        <v>51</v>
      </c>
      <c r="E22" t="s">
        <v>115</v>
      </c>
      <c r="F22" s="2">
        <f>VLOOKUP(C22, Products!A:F, 4, FALSE)</f>
        <v>0</v>
      </c>
      <c r="G22" s="2">
        <f>VLOOKUP(C22, Products!A:F, 5, FALSE)</f>
        <v>0</v>
      </c>
      <c r="H22" s="3">
        <f>VLOOKUP(C22, Products!A:F, 6, FALSE)</f>
        <v>0</v>
      </c>
      <c r="I22" s="2">
        <f>G22 * D22</f>
        <v>0</v>
      </c>
      <c r="J22" s="4">
        <f>VLOOKUP(D22, Volume_Discounts!A:C, 3, TRUE)</f>
        <v>0</v>
      </c>
      <c r="K22" s="2">
        <f>I22 * (1 - J22)</f>
        <v>0</v>
      </c>
      <c r="L22" s="3">
        <f>H22 * D22</f>
        <v>0</v>
      </c>
      <c r="M22" s="2">
        <f>VLOOKUP(E22, Shipping_Zones!A:C, 2, FALSE)</f>
        <v>0</v>
      </c>
      <c r="N22" s="2">
        <f>VLOOKUP(E22, Shipping_Zones!A:C, 3, FALSE)</f>
        <v>0</v>
      </c>
      <c r="O22" s="2">
        <f>M22 + (N22 * L22)</f>
        <v>0</v>
      </c>
      <c r="P22" s="2">
        <f>(F22 * D22) + O22</f>
        <v>0</v>
      </c>
      <c r="Q22" s="2">
        <f>K22 - P22</f>
        <v>0</v>
      </c>
    </row>
    <row r="23" spans="1:17">
      <c r="A23" t="s">
        <v>157</v>
      </c>
      <c r="B23" t="s">
        <v>457</v>
      </c>
      <c r="C23" t="s">
        <v>55</v>
      </c>
      <c r="D23">
        <v>16</v>
      </c>
      <c r="E23" t="s">
        <v>115</v>
      </c>
      <c r="F23" s="2">
        <f>VLOOKUP(C23, Products!A:F, 4, FALSE)</f>
        <v>0</v>
      </c>
      <c r="G23" s="2">
        <f>VLOOKUP(C23, Products!A:F, 5, FALSE)</f>
        <v>0</v>
      </c>
      <c r="H23" s="3">
        <f>VLOOKUP(C23, Products!A:F, 6, FALSE)</f>
        <v>0</v>
      </c>
      <c r="I23" s="2">
        <f>G23 * D23</f>
        <v>0</v>
      </c>
      <c r="J23" s="4">
        <f>VLOOKUP(D23, Volume_Discounts!A:C, 3, TRUE)</f>
        <v>0</v>
      </c>
      <c r="K23" s="2">
        <f>I23 * (1 - J23)</f>
        <v>0</v>
      </c>
      <c r="L23" s="3">
        <f>H23 * D23</f>
        <v>0</v>
      </c>
      <c r="M23" s="2">
        <f>VLOOKUP(E23, Shipping_Zones!A:C, 2, FALSE)</f>
        <v>0</v>
      </c>
      <c r="N23" s="2">
        <f>VLOOKUP(E23, Shipping_Zones!A:C, 3, FALSE)</f>
        <v>0</v>
      </c>
      <c r="O23" s="2">
        <f>M23 + (N23 * L23)</f>
        <v>0</v>
      </c>
      <c r="P23" s="2">
        <f>(F23 * D23) + O23</f>
        <v>0</v>
      </c>
      <c r="Q23" s="2">
        <f>K23 - P23</f>
        <v>0</v>
      </c>
    </row>
    <row r="24" spans="1:17">
      <c r="A24" t="s">
        <v>158</v>
      </c>
      <c r="B24" t="s">
        <v>458</v>
      </c>
      <c r="C24" t="s">
        <v>14</v>
      </c>
      <c r="D24">
        <v>20</v>
      </c>
      <c r="E24" t="s">
        <v>117</v>
      </c>
      <c r="F24" s="2">
        <f>VLOOKUP(C24, Products!A:F, 4, FALSE)</f>
        <v>0</v>
      </c>
      <c r="G24" s="2">
        <f>VLOOKUP(C24, Products!A:F, 5, FALSE)</f>
        <v>0</v>
      </c>
      <c r="H24" s="3">
        <f>VLOOKUP(C24, Products!A:F, 6, FALSE)</f>
        <v>0</v>
      </c>
      <c r="I24" s="2">
        <f>G24 * D24</f>
        <v>0</v>
      </c>
      <c r="J24" s="4">
        <f>VLOOKUP(D24, Volume_Discounts!A:C, 3, TRUE)</f>
        <v>0</v>
      </c>
      <c r="K24" s="2">
        <f>I24 * (1 - J24)</f>
        <v>0</v>
      </c>
      <c r="L24" s="3">
        <f>H24 * D24</f>
        <v>0</v>
      </c>
      <c r="M24" s="2">
        <f>VLOOKUP(E24, Shipping_Zones!A:C, 2, FALSE)</f>
        <v>0</v>
      </c>
      <c r="N24" s="2">
        <f>VLOOKUP(E24, Shipping_Zones!A:C, 3, FALSE)</f>
        <v>0</v>
      </c>
      <c r="O24" s="2">
        <f>M24 + (N24 * L24)</f>
        <v>0</v>
      </c>
      <c r="P24" s="2">
        <f>(F24 * D24) + O24</f>
        <v>0</v>
      </c>
      <c r="Q24" s="2">
        <f>K24 - P24</f>
        <v>0</v>
      </c>
    </row>
    <row r="25" spans="1:17">
      <c r="A25" t="s">
        <v>159</v>
      </c>
      <c r="B25" t="s">
        <v>459</v>
      </c>
      <c r="C25" t="s">
        <v>19</v>
      </c>
      <c r="D25">
        <v>64</v>
      </c>
      <c r="E25" t="s">
        <v>117</v>
      </c>
      <c r="F25" s="2">
        <f>VLOOKUP(C25, Products!A:F, 4, FALSE)</f>
        <v>0</v>
      </c>
      <c r="G25" s="2">
        <f>VLOOKUP(C25, Products!A:F, 5, FALSE)</f>
        <v>0</v>
      </c>
      <c r="H25" s="3">
        <f>VLOOKUP(C25, Products!A:F, 6, FALSE)</f>
        <v>0</v>
      </c>
      <c r="I25" s="2">
        <f>G25 * D25</f>
        <v>0</v>
      </c>
      <c r="J25" s="4">
        <f>VLOOKUP(D25, Volume_Discounts!A:C, 3, TRUE)</f>
        <v>0</v>
      </c>
      <c r="K25" s="2">
        <f>I25 * (1 - J25)</f>
        <v>0</v>
      </c>
      <c r="L25" s="3">
        <f>H25 * D25</f>
        <v>0</v>
      </c>
      <c r="M25" s="2">
        <f>VLOOKUP(E25, Shipping_Zones!A:C, 2, FALSE)</f>
        <v>0</v>
      </c>
      <c r="N25" s="2">
        <f>VLOOKUP(E25, Shipping_Zones!A:C, 3, FALSE)</f>
        <v>0</v>
      </c>
      <c r="O25" s="2">
        <f>M25 + (N25 * L25)</f>
        <v>0</v>
      </c>
      <c r="P25" s="2">
        <f>(F25 * D25) + O25</f>
        <v>0</v>
      </c>
      <c r="Q25" s="2">
        <f>K25 - P25</f>
        <v>0</v>
      </c>
    </row>
    <row r="26" spans="1:17">
      <c r="A26" t="s">
        <v>160</v>
      </c>
      <c r="B26" t="s">
        <v>460</v>
      </c>
      <c r="C26" t="s">
        <v>35</v>
      </c>
      <c r="D26">
        <v>68</v>
      </c>
      <c r="E26" t="s">
        <v>117</v>
      </c>
      <c r="F26" s="2">
        <f>VLOOKUP(C26, Products!A:F, 4, FALSE)</f>
        <v>0</v>
      </c>
      <c r="G26" s="2">
        <f>VLOOKUP(C26, Products!A:F, 5, FALSE)</f>
        <v>0</v>
      </c>
      <c r="H26" s="3">
        <f>VLOOKUP(C26, Products!A:F, 6, FALSE)</f>
        <v>0</v>
      </c>
      <c r="I26" s="2">
        <f>G26 * D26</f>
        <v>0</v>
      </c>
      <c r="J26" s="4">
        <f>VLOOKUP(D26, Volume_Discounts!A:C, 3, TRUE)</f>
        <v>0</v>
      </c>
      <c r="K26" s="2">
        <f>I26 * (1 - J26)</f>
        <v>0</v>
      </c>
      <c r="L26" s="3">
        <f>H26 * D26</f>
        <v>0</v>
      </c>
      <c r="M26" s="2">
        <f>VLOOKUP(E26, Shipping_Zones!A:C, 2, FALSE)</f>
        <v>0</v>
      </c>
      <c r="N26" s="2">
        <f>VLOOKUP(E26, Shipping_Zones!A:C, 3, FALSE)</f>
        <v>0</v>
      </c>
      <c r="O26" s="2">
        <f>M26 + (N26 * L26)</f>
        <v>0</v>
      </c>
      <c r="P26" s="2">
        <f>(F26 * D26) + O26</f>
        <v>0</v>
      </c>
      <c r="Q26" s="2">
        <f>K26 - P26</f>
        <v>0</v>
      </c>
    </row>
    <row r="27" spans="1:17">
      <c r="A27" t="s">
        <v>161</v>
      </c>
      <c r="B27" t="s">
        <v>461</v>
      </c>
      <c r="C27" t="s">
        <v>8</v>
      </c>
      <c r="D27">
        <v>3</v>
      </c>
      <c r="E27" t="s">
        <v>117</v>
      </c>
      <c r="F27" s="2">
        <f>VLOOKUP(C27, Products!A:F, 4, FALSE)</f>
        <v>0</v>
      </c>
      <c r="G27" s="2">
        <f>VLOOKUP(C27, Products!A:F, 5, FALSE)</f>
        <v>0</v>
      </c>
      <c r="H27" s="3">
        <f>VLOOKUP(C27, Products!A:F, 6, FALSE)</f>
        <v>0</v>
      </c>
      <c r="I27" s="2">
        <f>G27 * D27</f>
        <v>0</v>
      </c>
      <c r="J27" s="4">
        <f>VLOOKUP(D27, Volume_Discounts!A:C, 3, TRUE)</f>
        <v>0</v>
      </c>
      <c r="K27" s="2">
        <f>I27 * (1 - J27)</f>
        <v>0</v>
      </c>
      <c r="L27" s="3">
        <f>H27 * D27</f>
        <v>0</v>
      </c>
      <c r="M27" s="2">
        <f>VLOOKUP(E27, Shipping_Zones!A:C, 2, FALSE)</f>
        <v>0</v>
      </c>
      <c r="N27" s="2">
        <f>VLOOKUP(E27, Shipping_Zones!A:C, 3, FALSE)</f>
        <v>0</v>
      </c>
      <c r="O27" s="2">
        <f>M27 + (N27 * L27)</f>
        <v>0</v>
      </c>
      <c r="P27" s="2">
        <f>(F27 * D27) + O27</f>
        <v>0</v>
      </c>
      <c r="Q27" s="2">
        <f>K27 - P27</f>
        <v>0</v>
      </c>
    </row>
    <row r="28" spans="1:17">
      <c r="A28" t="s">
        <v>162</v>
      </c>
      <c r="B28" t="s">
        <v>462</v>
      </c>
      <c r="C28" t="s">
        <v>24</v>
      </c>
      <c r="D28">
        <v>19</v>
      </c>
      <c r="E28" t="s">
        <v>115</v>
      </c>
      <c r="F28" s="2">
        <f>VLOOKUP(C28, Products!A:F, 4, FALSE)</f>
        <v>0</v>
      </c>
      <c r="G28" s="2">
        <f>VLOOKUP(C28, Products!A:F, 5, FALSE)</f>
        <v>0</v>
      </c>
      <c r="H28" s="3">
        <f>VLOOKUP(C28, Products!A:F, 6, FALSE)</f>
        <v>0</v>
      </c>
      <c r="I28" s="2">
        <f>G28 * D28</f>
        <v>0</v>
      </c>
      <c r="J28" s="4">
        <f>VLOOKUP(D28, Volume_Discounts!A:C, 3, TRUE)</f>
        <v>0</v>
      </c>
      <c r="K28" s="2">
        <f>I28 * (1 - J28)</f>
        <v>0</v>
      </c>
      <c r="L28" s="3">
        <f>H28 * D28</f>
        <v>0</v>
      </c>
      <c r="M28" s="2">
        <f>VLOOKUP(E28, Shipping_Zones!A:C, 2, FALSE)</f>
        <v>0</v>
      </c>
      <c r="N28" s="2">
        <f>VLOOKUP(E28, Shipping_Zones!A:C, 3, FALSE)</f>
        <v>0</v>
      </c>
      <c r="O28" s="2">
        <f>M28 + (N28 * L28)</f>
        <v>0</v>
      </c>
      <c r="P28" s="2">
        <f>(F28 * D28) + O28</f>
        <v>0</v>
      </c>
      <c r="Q28" s="2">
        <f>K28 - P28</f>
        <v>0</v>
      </c>
    </row>
    <row r="29" spans="1:17">
      <c r="A29" t="s">
        <v>163</v>
      </c>
      <c r="B29" t="s">
        <v>463</v>
      </c>
      <c r="C29" t="s">
        <v>44</v>
      </c>
      <c r="D29">
        <v>108</v>
      </c>
      <c r="E29" t="s">
        <v>114</v>
      </c>
      <c r="F29" s="2">
        <f>VLOOKUP(C29, Products!A:F, 4, FALSE)</f>
        <v>0</v>
      </c>
      <c r="G29" s="2">
        <f>VLOOKUP(C29, Products!A:F, 5, FALSE)</f>
        <v>0</v>
      </c>
      <c r="H29" s="3">
        <f>VLOOKUP(C29, Products!A:F, 6, FALSE)</f>
        <v>0</v>
      </c>
      <c r="I29" s="2">
        <f>G29 * D29</f>
        <v>0</v>
      </c>
      <c r="J29" s="4">
        <f>VLOOKUP(D29, Volume_Discounts!A:C, 3, TRUE)</f>
        <v>0</v>
      </c>
      <c r="K29" s="2">
        <f>I29 * (1 - J29)</f>
        <v>0</v>
      </c>
      <c r="L29" s="3">
        <f>H29 * D29</f>
        <v>0</v>
      </c>
      <c r="M29" s="2">
        <f>VLOOKUP(E29, Shipping_Zones!A:C, 2, FALSE)</f>
        <v>0</v>
      </c>
      <c r="N29" s="2">
        <f>VLOOKUP(E29, Shipping_Zones!A:C, 3, FALSE)</f>
        <v>0</v>
      </c>
      <c r="O29" s="2">
        <f>M29 + (N29 * L29)</f>
        <v>0</v>
      </c>
      <c r="P29" s="2">
        <f>(F29 * D29) + O29</f>
        <v>0</v>
      </c>
      <c r="Q29" s="2">
        <f>K29 - P29</f>
        <v>0</v>
      </c>
    </row>
    <row r="30" spans="1:17">
      <c r="A30" t="s">
        <v>164</v>
      </c>
      <c r="B30" t="s">
        <v>464</v>
      </c>
      <c r="C30" t="s">
        <v>24</v>
      </c>
      <c r="D30">
        <v>41</v>
      </c>
      <c r="E30" t="s">
        <v>114</v>
      </c>
      <c r="F30" s="2">
        <f>VLOOKUP(C30, Products!A:F, 4, FALSE)</f>
        <v>0</v>
      </c>
      <c r="G30" s="2">
        <f>VLOOKUP(C30, Products!A:F, 5, FALSE)</f>
        <v>0</v>
      </c>
      <c r="H30" s="3">
        <f>VLOOKUP(C30, Products!A:F, 6, FALSE)</f>
        <v>0</v>
      </c>
      <c r="I30" s="2">
        <f>G30 * D30</f>
        <v>0</v>
      </c>
      <c r="J30" s="4">
        <f>VLOOKUP(D30, Volume_Discounts!A:C, 3, TRUE)</f>
        <v>0</v>
      </c>
      <c r="K30" s="2">
        <f>I30 * (1 - J30)</f>
        <v>0</v>
      </c>
      <c r="L30" s="3">
        <f>H30 * D30</f>
        <v>0</v>
      </c>
      <c r="M30" s="2">
        <f>VLOOKUP(E30, Shipping_Zones!A:C, 2, FALSE)</f>
        <v>0</v>
      </c>
      <c r="N30" s="2">
        <f>VLOOKUP(E30, Shipping_Zones!A:C, 3, FALSE)</f>
        <v>0</v>
      </c>
      <c r="O30" s="2">
        <f>M30 + (N30 * L30)</f>
        <v>0</v>
      </c>
      <c r="P30" s="2">
        <f>(F30 * D30) + O30</f>
        <v>0</v>
      </c>
      <c r="Q30" s="2">
        <f>K30 - P30</f>
        <v>0</v>
      </c>
    </row>
    <row r="31" spans="1:17">
      <c r="A31" t="s">
        <v>165</v>
      </c>
      <c r="B31" t="s">
        <v>465</v>
      </c>
      <c r="C31" t="s">
        <v>48</v>
      </c>
      <c r="D31">
        <v>51</v>
      </c>
      <c r="E31" t="s">
        <v>117</v>
      </c>
      <c r="F31" s="2">
        <f>VLOOKUP(C31, Products!A:F, 4, FALSE)</f>
        <v>0</v>
      </c>
      <c r="G31" s="2">
        <f>VLOOKUP(C31, Products!A:F, 5, FALSE)</f>
        <v>0</v>
      </c>
      <c r="H31" s="3">
        <f>VLOOKUP(C31, Products!A:F, 6, FALSE)</f>
        <v>0</v>
      </c>
      <c r="I31" s="2">
        <f>G31 * D31</f>
        <v>0</v>
      </c>
      <c r="J31" s="4">
        <f>VLOOKUP(D31, Volume_Discounts!A:C, 3, TRUE)</f>
        <v>0</v>
      </c>
      <c r="K31" s="2">
        <f>I31 * (1 - J31)</f>
        <v>0</v>
      </c>
      <c r="L31" s="3">
        <f>H31 * D31</f>
        <v>0</v>
      </c>
      <c r="M31" s="2">
        <f>VLOOKUP(E31, Shipping_Zones!A:C, 2, FALSE)</f>
        <v>0</v>
      </c>
      <c r="N31" s="2">
        <f>VLOOKUP(E31, Shipping_Zones!A:C, 3, FALSE)</f>
        <v>0</v>
      </c>
      <c r="O31" s="2">
        <f>M31 + (N31 * L31)</f>
        <v>0</v>
      </c>
      <c r="P31" s="2">
        <f>(F31 * D31) + O31</f>
        <v>0</v>
      </c>
      <c r="Q31" s="2">
        <f>K31 - P31</f>
        <v>0</v>
      </c>
    </row>
    <row r="32" spans="1:17">
      <c r="A32" t="s">
        <v>166</v>
      </c>
      <c r="B32" t="s">
        <v>466</v>
      </c>
      <c r="C32" t="s">
        <v>52</v>
      </c>
      <c r="D32">
        <v>45</v>
      </c>
      <c r="E32" t="s">
        <v>116</v>
      </c>
      <c r="F32" s="2">
        <f>VLOOKUP(C32, Products!A:F, 4, FALSE)</f>
        <v>0</v>
      </c>
      <c r="G32" s="2">
        <f>VLOOKUP(C32, Products!A:F, 5, FALSE)</f>
        <v>0</v>
      </c>
      <c r="H32" s="3">
        <f>VLOOKUP(C32, Products!A:F, 6, FALSE)</f>
        <v>0</v>
      </c>
      <c r="I32" s="2">
        <f>G32 * D32</f>
        <v>0</v>
      </c>
      <c r="J32" s="4">
        <f>VLOOKUP(D32, Volume_Discounts!A:C, 3, TRUE)</f>
        <v>0</v>
      </c>
      <c r="K32" s="2">
        <f>I32 * (1 - J32)</f>
        <v>0</v>
      </c>
      <c r="L32" s="3">
        <f>H32 * D32</f>
        <v>0</v>
      </c>
      <c r="M32" s="2">
        <f>VLOOKUP(E32, Shipping_Zones!A:C, 2, FALSE)</f>
        <v>0</v>
      </c>
      <c r="N32" s="2">
        <f>VLOOKUP(E32, Shipping_Zones!A:C, 3, FALSE)</f>
        <v>0</v>
      </c>
      <c r="O32" s="2">
        <f>M32 + (N32 * L32)</f>
        <v>0</v>
      </c>
      <c r="P32" s="2">
        <f>(F32 * D32) + O32</f>
        <v>0</v>
      </c>
      <c r="Q32" s="2">
        <f>K32 - P32</f>
        <v>0</v>
      </c>
    </row>
    <row r="33" spans="1:17">
      <c r="A33" t="s">
        <v>167</v>
      </c>
      <c r="B33" t="s">
        <v>467</v>
      </c>
      <c r="C33" t="s">
        <v>18</v>
      </c>
      <c r="D33">
        <v>86</v>
      </c>
      <c r="E33" t="s">
        <v>117</v>
      </c>
      <c r="F33" s="2">
        <f>VLOOKUP(C33, Products!A:F, 4, FALSE)</f>
        <v>0</v>
      </c>
      <c r="G33" s="2">
        <f>VLOOKUP(C33, Products!A:F, 5, FALSE)</f>
        <v>0</v>
      </c>
      <c r="H33" s="3">
        <f>VLOOKUP(C33, Products!A:F, 6, FALSE)</f>
        <v>0</v>
      </c>
      <c r="I33" s="2">
        <f>G33 * D33</f>
        <v>0</v>
      </c>
      <c r="J33" s="4">
        <f>VLOOKUP(D33, Volume_Discounts!A:C, 3, TRUE)</f>
        <v>0</v>
      </c>
      <c r="K33" s="2">
        <f>I33 * (1 - J33)</f>
        <v>0</v>
      </c>
      <c r="L33" s="3">
        <f>H33 * D33</f>
        <v>0</v>
      </c>
      <c r="M33" s="2">
        <f>VLOOKUP(E33, Shipping_Zones!A:C, 2, FALSE)</f>
        <v>0</v>
      </c>
      <c r="N33" s="2">
        <f>VLOOKUP(E33, Shipping_Zones!A:C, 3, FALSE)</f>
        <v>0</v>
      </c>
      <c r="O33" s="2">
        <f>M33 + (N33 * L33)</f>
        <v>0</v>
      </c>
      <c r="P33" s="2">
        <f>(F33 * D33) + O33</f>
        <v>0</v>
      </c>
      <c r="Q33" s="2">
        <f>K33 - P33</f>
        <v>0</v>
      </c>
    </row>
    <row r="34" spans="1:17">
      <c r="A34" t="s">
        <v>168</v>
      </c>
      <c r="B34" t="s">
        <v>468</v>
      </c>
      <c r="C34" t="s">
        <v>21</v>
      </c>
      <c r="D34">
        <v>107</v>
      </c>
      <c r="E34" t="s">
        <v>114</v>
      </c>
      <c r="F34" s="2">
        <f>VLOOKUP(C34, Products!A:F, 4, FALSE)</f>
        <v>0</v>
      </c>
      <c r="G34" s="2">
        <f>VLOOKUP(C34, Products!A:F, 5, FALSE)</f>
        <v>0</v>
      </c>
      <c r="H34" s="3">
        <f>VLOOKUP(C34, Products!A:F, 6, FALSE)</f>
        <v>0</v>
      </c>
      <c r="I34" s="2">
        <f>G34 * D34</f>
        <v>0</v>
      </c>
      <c r="J34" s="4">
        <f>VLOOKUP(D34, Volume_Discounts!A:C, 3, TRUE)</f>
        <v>0</v>
      </c>
      <c r="K34" s="2">
        <f>I34 * (1 - J34)</f>
        <v>0</v>
      </c>
      <c r="L34" s="3">
        <f>H34 * D34</f>
        <v>0</v>
      </c>
      <c r="M34" s="2">
        <f>VLOOKUP(E34, Shipping_Zones!A:C, 2, FALSE)</f>
        <v>0</v>
      </c>
      <c r="N34" s="2">
        <f>VLOOKUP(E34, Shipping_Zones!A:C, 3, FALSE)</f>
        <v>0</v>
      </c>
      <c r="O34" s="2">
        <f>M34 + (N34 * L34)</f>
        <v>0</v>
      </c>
      <c r="P34" s="2">
        <f>(F34 * D34) + O34</f>
        <v>0</v>
      </c>
      <c r="Q34" s="2">
        <f>K34 - P34</f>
        <v>0</v>
      </c>
    </row>
    <row r="35" spans="1:17">
      <c r="A35" t="s">
        <v>169</v>
      </c>
      <c r="B35" t="s">
        <v>437</v>
      </c>
      <c r="C35" t="s">
        <v>42</v>
      </c>
      <c r="D35">
        <v>105</v>
      </c>
      <c r="E35" t="s">
        <v>114</v>
      </c>
      <c r="F35" s="2">
        <f>VLOOKUP(C35, Products!A:F, 4, FALSE)</f>
        <v>0</v>
      </c>
      <c r="G35" s="2">
        <f>VLOOKUP(C35, Products!A:F, 5, FALSE)</f>
        <v>0</v>
      </c>
      <c r="H35" s="3">
        <f>VLOOKUP(C35, Products!A:F, 6, FALSE)</f>
        <v>0</v>
      </c>
      <c r="I35" s="2">
        <f>G35 * D35</f>
        <v>0</v>
      </c>
      <c r="J35" s="4">
        <f>VLOOKUP(D35, Volume_Discounts!A:C, 3, TRUE)</f>
        <v>0</v>
      </c>
      <c r="K35" s="2">
        <f>I35 * (1 - J35)</f>
        <v>0</v>
      </c>
      <c r="L35" s="3">
        <f>H35 * D35</f>
        <v>0</v>
      </c>
      <c r="M35" s="2">
        <f>VLOOKUP(E35, Shipping_Zones!A:C, 2, FALSE)</f>
        <v>0</v>
      </c>
      <c r="N35" s="2">
        <f>VLOOKUP(E35, Shipping_Zones!A:C, 3, FALSE)</f>
        <v>0</v>
      </c>
      <c r="O35" s="2">
        <f>M35 + (N35 * L35)</f>
        <v>0</v>
      </c>
      <c r="P35" s="2">
        <f>(F35 * D35) + O35</f>
        <v>0</v>
      </c>
      <c r="Q35" s="2">
        <f>K35 - P35</f>
        <v>0</v>
      </c>
    </row>
    <row r="36" spans="1:17">
      <c r="A36" t="s">
        <v>170</v>
      </c>
      <c r="B36" t="s">
        <v>469</v>
      </c>
      <c r="C36" t="s">
        <v>37</v>
      </c>
      <c r="D36">
        <v>68</v>
      </c>
      <c r="E36" t="s">
        <v>115</v>
      </c>
      <c r="F36" s="2">
        <f>VLOOKUP(C36, Products!A:F, 4, FALSE)</f>
        <v>0</v>
      </c>
      <c r="G36" s="2">
        <f>VLOOKUP(C36, Products!A:F, 5, FALSE)</f>
        <v>0</v>
      </c>
      <c r="H36" s="3">
        <f>VLOOKUP(C36, Products!A:F, 6, FALSE)</f>
        <v>0</v>
      </c>
      <c r="I36" s="2">
        <f>G36 * D36</f>
        <v>0</v>
      </c>
      <c r="J36" s="4">
        <f>VLOOKUP(D36, Volume_Discounts!A:C, 3, TRUE)</f>
        <v>0</v>
      </c>
      <c r="K36" s="2">
        <f>I36 * (1 - J36)</f>
        <v>0</v>
      </c>
      <c r="L36" s="3">
        <f>H36 * D36</f>
        <v>0</v>
      </c>
      <c r="M36" s="2">
        <f>VLOOKUP(E36, Shipping_Zones!A:C, 2, FALSE)</f>
        <v>0</v>
      </c>
      <c r="N36" s="2">
        <f>VLOOKUP(E36, Shipping_Zones!A:C, 3, FALSE)</f>
        <v>0</v>
      </c>
      <c r="O36" s="2">
        <f>M36 + (N36 * L36)</f>
        <v>0</v>
      </c>
      <c r="P36" s="2">
        <f>(F36 * D36) + O36</f>
        <v>0</v>
      </c>
      <c r="Q36" s="2">
        <f>K36 - P36</f>
        <v>0</v>
      </c>
    </row>
    <row r="37" spans="1:17">
      <c r="A37" t="s">
        <v>171</v>
      </c>
      <c r="B37" t="s">
        <v>470</v>
      </c>
      <c r="C37" t="s">
        <v>9</v>
      </c>
      <c r="D37">
        <v>35</v>
      </c>
      <c r="E37" t="s">
        <v>114</v>
      </c>
      <c r="F37" s="2">
        <f>VLOOKUP(C37, Products!A:F, 4, FALSE)</f>
        <v>0</v>
      </c>
      <c r="G37" s="2">
        <f>VLOOKUP(C37, Products!A:F, 5, FALSE)</f>
        <v>0</v>
      </c>
      <c r="H37" s="3">
        <f>VLOOKUP(C37, Products!A:F, 6, FALSE)</f>
        <v>0</v>
      </c>
      <c r="I37" s="2">
        <f>G37 * D37</f>
        <v>0</v>
      </c>
      <c r="J37" s="4">
        <f>VLOOKUP(D37, Volume_Discounts!A:C, 3, TRUE)</f>
        <v>0</v>
      </c>
      <c r="K37" s="2">
        <f>I37 * (1 - J37)</f>
        <v>0</v>
      </c>
      <c r="L37" s="3">
        <f>H37 * D37</f>
        <v>0</v>
      </c>
      <c r="M37" s="2">
        <f>VLOOKUP(E37, Shipping_Zones!A:C, 2, FALSE)</f>
        <v>0</v>
      </c>
      <c r="N37" s="2">
        <f>VLOOKUP(E37, Shipping_Zones!A:C, 3, FALSE)</f>
        <v>0</v>
      </c>
      <c r="O37" s="2">
        <f>M37 + (N37 * L37)</f>
        <v>0</v>
      </c>
      <c r="P37" s="2">
        <f>(F37 * D37) + O37</f>
        <v>0</v>
      </c>
      <c r="Q37" s="2">
        <f>K37 - P37</f>
        <v>0</v>
      </c>
    </row>
    <row r="38" spans="1:17">
      <c r="A38" t="s">
        <v>172</v>
      </c>
      <c r="B38" t="s">
        <v>471</v>
      </c>
      <c r="C38" t="s">
        <v>30</v>
      </c>
      <c r="D38">
        <v>26</v>
      </c>
      <c r="E38" t="s">
        <v>117</v>
      </c>
      <c r="F38" s="2">
        <f>VLOOKUP(C38, Products!A:F, 4, FALSE)</f>
        <v>0</v>
      </c>
      <c r="G38" s="2">
        <f>VLOOKUP(C38, Products!A:F, 5, FALSE)</f>
        <v>0</v>
      </c>
      <c r="H38" s="3">
        <f>VLOOKUP(C38, Products!A:F, 6, FALSE)</f>
        <v>0</v>
      </c>
      <c r="I38" s="2">
        <f>G38 * D38</f>
        <v>0</v>
      </c>
      <c r="J38" s="4">
        <f>VLOOKUP(D38, Volume_Discounts!A:C, 3, TRUE)</f>
        <v>0</v>
      </c>
      <c r="K38" s="2">
        <f>I38 * (1 - J38)</f>
        <v>0</v>
      </c>
      <c r="L38" s="3">
        <f>H38 * D38</f>
        <v>0</v>
      </c>
      <c r="M38" s="2">
        <f>VLOOKUP(E38, Shipping_Zones!A:C, 2, FALSE)</f>
        <v>0</v>
      </c>
      <c r="N38" s="2">
        <f>VLOOKUP(E38, Shipping_Zones!A:C, 3, FALSE)</f>
        <v>0</v>
      </c>
      <c r="O38" s="2">
        <f>M38 + (N38 * L38)</f>
        <v>0</v>
      </c>
      <c r="P38" s="2">
        <f>(F38 * D38) + O38</f>
        <v>0</v>
      </c>
      <c r="Q38" s="2">
        <f>K38 - P38</f>
        <v>0</v>
      </c>
    </row>
    <row r="39" spans="1:17">
      <c r="A39" t="s">
        <v>173</v>
      </c>
      <c r="B39" t="s">
        <v>472</v>
      </c>
      <c r="C39" t="s">
        <v>51</v>
      </c>
      <c r="D39">
        <v>19</v>
      </c>
      <c r="E39" t="s">
        <v>116</v>
      </c>
      <c r="F39" s="2">
        <f>VLOOKUP(C39, Products!A:F, 4, FALSE)</f>
        <v>0</v>
      </c>
      <c r="G39" s="2">
        <f>VLOOKUP(C39, Products!A:F, 5, FALSE)</f>
        <v>0</v>
      </c>
      <c r="H39" s="3">
        <f>VLOOKUP(C39, Products!A:F, 6, FALSE)</f>
        <v>0</v>
      </c>
      <c r="I39" s="2">
        <f>G39 * D39</f>
        <v>0</v>
      </c>
      <c r="J39" s="4">
        <f>VLOOKUP(D39, Volume_Discounts!A:C, 3, TRUE)</f>
        <v>0</v>
      </c>
      <c r="K39" s="2">
        <f>I39 * (1 - J39)</f>
        <v>0</v>
      </c>
      <c r="L39" s="3">
        <f>H39 * D39</f>
        <v>0</v>
      </c>
      <c r="M39" s="2">
        <f>VLOOKUP(E39, Shipping_Zones!A:C, 2, FALSE)</f>
        <v>0</v>
      </c>
      <c r="N39" s="2">
        <f>VLOOKUP(E39, Shipping_Zones!A:C, 3, FALSE)</f>
        <v>0</v>
      </c>
      <c r="O39" s="2">
        <f>M39 + (N39 * L39)</f>
        <v>0</v>
      </c>
      <c r="P39" s="2">
        <f>(F39 * D39) + O39</f>
        <v>0</v>
      </c>
      <c r="Q39" s="2">
        <f>K39 - P39</f>
        <v>0</v>
      </c>
    </row>
    <row r="40" spans="1:17">
      <c r="A40" t="s">
        <v>174</v>
      </c>
      <c r="B40" t="s">
        <v>473</v>
      </c>
      <c r="C40" t="s">
        <v>33</v>
      </c>
      <c r="D40">
        <v>88</v>
      </c>
      <c r="E40" t="s">
        <v>117</v>
      </c>
      <c r="F40" s="2">
        <f>VLOOKUP(C40, Products!A:F, 4, FALSE)</f>
        <v>0</v>
      </c>
      <c r="G40" s="2">
        <f>VLOOKUP(C40, Products!A:F, 5, FALSE)</f>
        <v>0</v>
      </c>
      <c r="H40" s="3">
        <f>VLOOKUP(C40, Products!A:F, 6, FALSE)</f>
        <v>0</v>
      </c>
      <c r="I40" s="2">
        <f>G40 * D40</f>
        <v>0</v>
      </c>
      <c r="J40" s="4">
        <f>VLOOKUP(D40, Volume_Discounts!A:C, 3, TRUE)</f>
        <v>0</v>
      </c>
      <c r="K40" s="2">
        <f>I40 * (1 - J40)</f>
        <v>0</v>
      </c>
      <c r="L40" s="3">
        <f>H40 * D40</f>
        <v>0</v>
      </c>
      <c r="M40" s="2">
        <f>VLOOKUP(E40, Shipping_Zones!A:C, 2, FALSE)</f>
        <v>0</v>
      </c>
      <c r="N40" s="2">
        <f>VLOOKUP(E40, Shipping_Zones!A:C, 3, FALSE)</f>
        <v>0</v>
      </c>
      <c r="O40" s="2">
        <f>M40 + (N40 * L40)</f>
        <v>0</v>
      </c>
      <c r="P40" s="2">
        <f>(F40 * D40) + O40</f>
        <v>0</v>
      </c>
      <c r="Q40" s="2">
        <f>K40 - P40</f>
        <v>0</v>
      </c>
    </row>
    <row r="41" spans="1:17">
      <c r="A41" t="s">
        <v>175</v>
      </c>
      <c r="B41" t="s">
        <v>440</v>
      </c>
      <c r="C41" t="s">
        <v>21</v>
      </c>
      <c r="D41">
        <v>16</v>
      </c>
      <c r="E41" t="s">
        <v>115</v>
      </c>
      <c r="F41" s="2">
        <f>VLOOKUP(C41, Products!A:F, 4, FALSE)</f>
        <v>0</v>
      </c>
      <c r="G41" s="2">
        <f>VLOOKUP(C41, Products!A:F, 5, FALSE)</f>
        <v>0</v>
      </c>
      <c r="H41" s="3">
        <f>VLOOKUP(C41, Products!A:F, 6, FALSE)</f>
        <v>0</v>
      </c>
      <c r="I41" s="2">
        <f>G41 * D41</f>
        <v>0</v>
      </c>
      <c r="J41" s="4">
        <f>VLOOKUP(D41, Volume_Discounts!A:C, 3, TRUE)</f>
        <v>0</v>
      </c>
      <c r="K41" s="2">
        <f>I41 * (1 - J41)</f>
        <v>0</v>
      </c>
      <c r="L41" s="3">
        <f>H41 * D41</f>
        <v>0</v>
      </c>
      <c r="M41" s="2">
        <f>VLOOKUP(E41, Shipping_Zones!A:C, 2, FALSE)</f>
        <v>0</v>
      </c>
      <c r="N41" s="2">
        <f>VLOOKUP(E41, Shipping_Zones!A:C, 3, FALSE)</f>
        <v>0</v>
      </c>
      <c r="O41" s="2">
        <f>M41 + (N41 * L41)</f>
        <v>0</v>
      </c>
      <c r="P41" s="2">
        <f>(F41 * D41) + O41</f>
        <v>0</v>
      </c>
      <c r="Q41" s="2">
        <f>K41 - P41</f>
        <v>0</v>
      </c>
    </row>
    <row r="42" spans="1:17">
      <c r="A42" t="s">
        <v>176</v>
      </c>
      <c r="B42" t="s">
        <v>474</v>
      </c>
      <c r="C42" t="s">
        <v>9</v>
      </c>
      <c r="D42">
        <v>69</v>
      </c>
      <c r="E42" t="s">
        <v>116</v>
      </c>
      <c r="F42" s="2">
        <f>VLOOKUP(C42, Products!A:F, 4, FALSE)</f>
        <v>0</v>
      </c>
      <c r="G42" s="2">
        <f>VLOOKUP(C42, Products!A:F, 5, FALSE)</f>
        <v>0</v>
      </c>
      <c r="H42" s="3">
        <f>VLOOKUP(C42, Products!A:F, 6, FALSE)</f>
        <v>0</v>
      </c>
      <c r="I42" s="2">
        <f>G42 * D42</f>
        <v>0</v>
      </c>
      <c r="J42" s="4">
        <f>VLOOKUP(D42, Volume_Discounts!A:C, 3, TRUE)</f>
        <v>0</v>
      </c>
      <c r="K42" s="2">
        <f>I42 * (1 - J42)</f>
        <v>0</v>
      </c>
      <c r="L42" s="3">
        <f>H42 * D42</f>
        <v>0</v>
      </c>
      <c r="M42" s="2">
        <f>VLOOKUP(E42, Shipping_Zones!A:C, 2, FALSE)</f>
        <v>0</v>
      </c>
      <c r="N42" s="2">
        <f>VLOOKUP(E42, Shipping_Zones!A:C, 3, FALSE)</f>
        <v>0</v>
      </c>
      <c r="O42" s="2">
        <f>M42 + (N42 * L42)</f>
        <v>0</v>
      </c>
      <c r="P42" s="2">
        <f>(F42 * D42) + O42</f>
        <v>0</v>
      </c>
      <c r="Q42" s="2">
        <f>K42 - P42</f>
        <v>0</v>
      </c>
    </row>
    <row r="43" spans="1:17">
      <c r="A43" t="s">
        <v>177</v>
      </c>
      <c r="B43" t="s">
        <v>475</v>
      </c>
      <c r="C43" t="s">
        <v>45</v>
      </c>
      <c r="D43">
        <v>16</v>
      </c>
      <c r="E43" t="s">
        <v>117</v>
      </c>
      <c r="F43" s="2">
        <f>VLOOKUP(C43, Products!A:F, 4, FALSE)</f>
        <v>0</v>
      </c>
      <c r="G43" s="2">
        <f>VLOOKUP(C43, Products!A:F, 5, FALSE)</f>
        <v>0</v>
      </c>
      <c r="H43" s="3">
        <f>VLOOKUP(C43, Products!A:F, 6, FALSE)</f>
        <v>0</v>
      </c>
      <c r="I43" s="2">
        <f>G43 * D43</f>
        <v>0</v>
      </c>
      <c r="J43" s="4">
        <f>VLOOKUP(D43, Volume_Discounts!A:C, 3, TRUE)</f>
        <v>0</v>
      </c>
      <c r="K43" s="2">
        <f>I43 * (1 - J43)</f>
        <v>0</v>
      </c>
      <c r="L43" s="3">
        <f>H43 * D43</f>
        <v>0</v>
      </c>
      <c r="M43" s="2">
        <f>VLOOKUP(E43, Shipping_Zones!A:C, 2, FALSE)</f>
        <v>0</v>
      </c>
      <c r="N43" s="2">
        <f>VLOOKUP(E43, Shipping_Zones!A:C, 3, FALSE)</f>
        <v>0</v>
      </c>
      <c r="O43" s="2">
        <f>M43 + (N43 * L43)</f>
        <v>0</v>
      </c>
      <c r="P43" s="2">
        <f>(F43 * D43) + O43</f>
        <v>0</v>
      </c>
      <c r="Q43" s="2">
        <f>K43 - P43</f>
        <v>0</v>
      </c>
    </row>
    <row r="44" spans="1:17">
      <c r="A44" t="s">
        <v>178</v>
      </c>
      <c r="B44" t="s">
        <v>476</v>
      </c>
      <c r="C44" t="s">
        <v>36</v>
      </c>
      <c r="D44">
        <v>30</v>
      </c>
      <c r="E44" t="s">
        <v>114</v>
      </c>
      <c r="F44" s="2">
        <f>VLOOKUP(C44, Products!A:F, 4, FALSE)</f>
        <v>0</v>
      </c>
      <c r="G44" s="2">
        <f>VLOOKUP(C44, Products!A:F, 5, FALSE)</f>
        <v>0</v>
      </c>
      <c r="H44" s="3">
        <f>VLOOKUP(C44, Products!A:F, 6, FALSE)</f>
        <v>0</v>
      </c>
      <c r="I44" s="2">
        <f>G44 * D44</f>
        <v>0</v>
      </c>
      <c r="J44" s="4">
        <f>VLOOKUP(D44, Volume_Discounts!A:C, 3, TRUE)</f>
        <v>0</v>
      </c>
      <c r="K44" s="2">
        <f>I44 * (1 - J44)</f>
        <v>0</v>
      </c>
      <c r="L44" s="3">
        <f>H44 * D44</f>
        <v>0</v>
      </c>
      <c r="M44" s="2">
        <f>VLOOKUP(E44, Shipping_Zones!A:C, 2, FALSE)</f>
        <v>0</v>
      </c>
      <c r="N44" s="2">
        <f>VLOOKUP(E44, Shipping_Zones!A:C, 3, FALSE)</f>
        <v>0</v>
      </c>
      <c r="O44" s="2">
        <f>M44 + (N44 * L44)</f>
        <v>0</v>
      </c>
      <c r="P44" s="2">
        <f>(F44 * D44) + O44</f>
        <v>0</v>
      </c>
      <c r="Q44" s="2">
        <f>K44 - P44</f>
        <v>0</v>
      </c>
    </row>
    <row r="45" spans="1:17">
      <c r="A45" t="s">
        <v>179</v>
      </c>
      <c r="B45" t="s">
        <v>477</v>
      </c>
      <c r="C45" t="s">
        <v>53</v>
      </c>
      <c r="D45">
        <v>81</v>
      </c>
      <c r="E45" t="s">
        <v>114</v>
      </c>
      <c r="F45" s="2">
        <f>VLOOKUP(C45, Products!A:F, 4, FALSE)</f>
        <v>0</v>
      </c>
      <c r="G45" s="2">
        <f>VLOOKUP(C45, Products!A:F, 5, FALSE)</f>
        <v>0</v>
      </c>
      <c r="H45" s="3">
        <f>VLOOKUP(C45, Products!A:F, 6, FALSE)</f>
        <v>0</v>
      </c>
      <c r="I45" s="2">
        <f>G45 * D45</f>
        <v>0</v>
      </c>
      <c r="J45" s="4">
        <f>VLOOKUP(D45, Volume_Discounts!A:C, 3, TRUE)</f>
        <v>0</v>
      </c>
      <c r="K45" s="2">
        <f>I45 * (1 - J45)</f>
        <v>0</v>
      </c>
      <c r="L45" s="3">
        <f>H45 * D45</f>
        <v>0</v>
      </c>
      <c r="M45" s="2">
        <f>VLOOKUP(E45, Shipping_Zones!A:C, 2, FALSE)</f>
        <v>0</v>
      </c>
      <c r="N45" s="2">
        <f>VLOOKUP(E45, Shipping_Zones!A:C, 3, FALSE)</f>
        <v>0</v>
      </c>
      <c r="O45" s="2">
        <f>M45 + (N45 * L45)</f>
        <v>0</v>
      </c>
      <c r="P45" s="2">
        <f>(F45 * D45) + O45</f>
        <v>0</v>
      </c>
      <c r="Q45" s="2">
        <f>K45 - P45</f>
        <v>0</v>
      </c>
    </row>
    <row r="46" spans="1:17">
      <c r="A46" t="s">
        <v>180</v>
      </c>
      <c r="B46" t="s">
        <v>478</v>
      </c>
      <c r="C46" t="s">
        <v>38</v>
      </c>
      <c r="D46">
        <v>120</v>
      </c>
      <c r="E46" t="s">
        <v>116</v>
      </c>
      <c r="F46" s="2">
        <f>VLOOKUP(C46, Products!A:F, 4, FALSE)</f>
        <v>0</v>
      </c>
      <c r="G46" s="2">
        <f>VLOOKUP(C46, Products!A:F, 5, FALSE)</f>
        <v>0</v>
      </c>
      <c r="H46" s="3">
        <f>VLOOKUP(C46, Products!A:F, 6, FALSE)</f>
        <v>0</v>
      </c>
      <c r="I46" s="2">
        <f>G46 * D46</f>
        <v>0</v>
      </c>
      <c r="J46" s="4">
        <f>VLOOKUP(D46, Volume_Discounts!A:C, 3, TRUE)</f>
        <v>0</v>
      </c>
      <c r="K46" s="2">
        <f>I46 * (1 - J46)</f>
        <v>0</v>
      </c>
      <c r="L46" s="3">
        <f>H46 * D46</f>
        <v>0</v>
      </c>
      <c r="M46" s="2">
        <f>VLOOKUP(E46, Shipping_Zones!A:C, 2, FALSE)</f>
        <v>0</v>
      </c>
      <c r="N46" s="2">
        <f>VLOOKUP(E46, Shipping_Zones!A:C, 3, FALSE)</f>
        <v>0</v>
      </c>
      <c r="O46" s="2">
        <f>M46 + (N46 * L46)</f>
        <v>0</v>
      </c>
      <c r="P46" s="2">
        <f>(F46 * D46) + O46</f>
        <v>0</v>
      </c>
      <c r="Q46" s="2">
        <f>K46 - P46</f>
        <v>0</v>
      </c>
    </row>
    <row r="47" spans="1:17">
      <c r="A47" t="s">
        <v>181</v>
      </c>
      <c r="B47" t="s">
        <v>479</v>
      </c>
      <c r="C47" t="s">
        <v>18</v>
      </c>
      <c r="D47">
        <v>41</v>
      </c>
      <c r="E47" t="s">
        <v>114</v>
      </c>
      <c r="F47" s="2">
        <f>VLOOKUP(C47, Products!A:F, 4, FALSE)</f>
        <v>0</v>
      </c>
      <c r="G47" s="2">
        <f>VLOOKUP(C47, Products!A:F, 5, FALSE)</f>
        <v>0</v>
      </c>
      <c r="H47" s="3">
        <f>VLOOKUP(C47, Products!A:F, 6, FALSE)</f>
        <v>0</v>
      </c>
      <c r="I47" s="2">
        <f>G47 * D47</f>
        <v>0</v>
      </c>
      <c r="J47" s="4">
        <f>VLOOKUP(D47, Volume_Discounts!A:C, 3, TRUE)</f>
        <v>0</v>
      </c>
      <c r="K47" s="2">
        <f>I47 * (1 - J47)</f>
        <v>0</v>
      </c>
      <c r="L47" s="3">
        <f>H47 * D47</f>
        <v>0</v>
      </c>
      <c r="M47" s="2">
        <f>VLOOKUP(E47, Shipping_Zones!A:C, 2, FALSE)</f>
        <v>0</v>
      </c>
      <c r="N47" s="2">
        <f>VLOOKUP(E47, Shipping_Zones!A:C, 3, FALSE)</f>
        <v>0</v>
      </c>
      <c r="O47" s="2">
        <f>M47 + (N47 * L47)</f>
        <v>0</v>
      </c>
      <c r="P47" s="2">
        <f>(F47 * D47) + O47</f>
        <v>0</v>
      </c>
      <c r="Q47" s="2">
        <f>K47 - P47</f>
        <v>0</v>
      </c>
    </row>
    <row r="48" spans="1:17">
      <c r="A48" t="s">
        <v>182</v>
      </c>
      <c r="B48" t="s">
        <v>480</v>
      </c>
      <c r="C48" t="s">
        <v>34</v>
      </c>
      <c r="D48">
        <v>33</v>
      </c>
      <c r="E48" t="s">
        <v>116</v>
      </c>
      <c r="F48" s="2">
        <f>VLOOKUP(C48, Products!A:F, 4, FALSE)</f>
        <v>0</v>
      </c>
      <c r="G48" s="2">
        <f>VLOOKUP(C48, Products!A:F, 5, FALSE)</f>
        <v>0</v>
      </c>
      <c r="H48" s="3">
        <f>VLOOKUP(C48, Products!A:F, 6, FALSE)</f>
        <v>0</v>
      </c>
      <c r="I48" s="2">
        <f>G48 * D48</f>
        <v>0</v>
      </c>
      <c r="J48" s="4">
        <f>VLOOKUP(D48, Volume_Discounts!A:C, 3, TRUE)</f>
        <v>0</v>
      </c>
      <c r="K48" s="2">
        <f>I48 * (1 - J48)</f>
        <v>0</v>
      </c>
      <c r="L48" s="3">
        <f>H48 * D48</f>
        <v>0</v>
      </c>
      <c r="M48" s="2">
        <f>VLOOKUP(E48, Shipping_Zones!A:C, 2, FALSE)</f>
        <v>0</v>
      </c>
      <c r="N48" s="2">
        <f>VLOOKUP(E48, Shipping_Zones!A:C, 3, FALSE)</f>
        <v>0</v>
      </c>
      <c r="O48" s="2">
        <f>M48 + (N48 * L48)</f>
        <v>0</v>
      </c>
      <c r="P48" s="2">
        <f>(F48 * D48) + O48</f>
        <v>0</v>
      </c>
      <c r="Q48" s="2">
        <f>K48 - P48</f>
        <v>0</v>
      </c>
    </row>
    <row r="49" spans="1:17">
      <c r="A49" t="s">
        <v>183</v>
      </c>
      <c r="B49" t="s">
        <v>481</v>
      </c>
      <c r="C49" t="s">
        <v>24</v>
      </c>
      <c r="D49">
        <v>62</v>
      </c>
      <c r="E49" t="s">
        <v>114</v>
      </c>
      <c r="F49" s="2">
        <f>VLOOKUP(C49, Products!A:F, 4, FALSE)</f>
        <v>0</v>
      </c>
      <c r="G49" s="2">
        <f>VLOOKUP(C49, Products!A:F, 5, FALSE)</f>
        <v>0</v>
      </c>
      <c r="H49" s="3">
        <f>VLOOKUP(C49, Products!A:F, 6, FALSE)</f>
        <v>0</v>
      </c>
      <c r="I49" s="2">
        <f>G49 * D49</f>
        <v>0</v>
      </c>
      <c r="J49" s="4">
        <f>VLOOKUP(D49, Volume_Discounts!A:C, 3, TRUE)</f>
        <v>0</v>
      </c>
      <c r="K49" s="2">
        <f>I49 * (1 - J49)</f>
        <v>0</v>
      </c>
      <c r="L49" s="3">
        <f>H49 * D49</f>
        <v>0</v>
      </c>
      <c r="M49" s="2">
        <f>VLOOKUP(E49, Shipping_Zones!A:C, 2, FALSE)</f>
        <v>0</v>
      </c>
      <c r="N49" s="2">
        <f>VLOOKUP(E49, Shipping_Zones!A:C, 3, FALSE)</f>
        <v>0</v>
      </c>
      <c r="O49" s="2">
        <f>M49 + (N49 * L49)</f>
        <v>0</v>
      </c>
      <c r="P49" s="2">
        <f>(F49 * D49) + O49</f>
        <v>0</v>
      </c>
      <c r="Q49" s="2">
        <f>K49 - P49</f>
        <v>0</v>
      </c>
    </row>
    <row r="50" spans="1:17">
      <c r="A50" t="s">
        <v>184</v>
      </c>
      <c r="B50" t="s">
        <v>482</v>
      </c>
      <c r="C50" t="s">
        <v>10</v>
      </c>
      <c r="D50">
        <v>76</v>
      </c>
      <c r="E50" t="s">
        <v>115</v>
      </c>
      <c r="F50" s="2">
        <f>VLOOKUP(C50, Products!A:F, 4, FALSE)</f>
        <v>0</v>
      </c>
      <c r="G50" s="2">
        <f>VLOOKUP(C50, Products!A:F, 5, FALSE)</f>
        <v>0</v>
      </c>
      <c r="H50" s="3">
        <f>VLOOKUP(C50, Products!A:F, 6, FALSE)</f>
        <v>0</v>
      </c>
      <c r="I50" s="2">
        <f>G50 * D50</f>
        <v>0</v>
      </c>
      <c r="J50" s="4">
        <f>VLOOKUP(D50, Volume_Discounts!A:C, 3, TRUE)</f>
        <v>0</v>
      </c>
      <c r="K50" s="2">
        <f>I50 * (1 - J50)</f>
        <v>0</v>
      </c>
      <c r="L50" s="3">
        <f>H50 * D50</f>
        <v>0</v>
      </c>
      <c r="M50" s="2">
        <f>VLOOKUP(E50, Shipping_Zones!A:C, 2, FALSE)</f>
        <v>0</v>
      </c>
      <c r="N50" s="2">
        <f>VLOOKUP(E50, Shipping_Zones!A:C, 3, FALSE)</f>
        <v>0</v>
      </c>
      <c r="O50" s="2">
        <f>M50 + (N50 * L50)</f>
        <v>0</v>
      </c>
      <c r="P50" s="2">
        <f>(F50 * D50) + O50</f>
        <v>0</v>
      </c>
      <c r="Q50" s="2">
        <f>K50 - P50</f>
        <v>0</v>
      </c>
    </row>
    <row r="51" spans="1:17">
      <c r="A51" t="s">
        <v>185</v>
      </c>
      <c r="B51" t="s">
        <v>483</v>
      </c>
      <c r="C51" t="s">
        <v>37</v>
      </c>
      <c r="D51">
        <v>94</v>
      </c>
      <c r="E51" t="s">
        <v>115</v>
      </c>
      <c r="F51" s="2">
        <f>VLOOKUP(C51, Products!A:F, 4, FALSE)</f>
        <v>0</v>
      </c>
      <c r="G51" s="2">
        <f>VLOOKUP(C51, Products!A:F, 5, FALSE)</f>
        <v>0</v>
      </c>
      <c r="H51" s="3">
        <f>VLOOKUP(C51, Products!A:F, 6, FALSE)</f>
        <v>0</v>
      </c>
      <c r="I51" s="2">
        <f>G51 * D51</f>
        <v>0</v>
      </c>
      <c r="J51" s="4">
        <f>VLOOKUP(D51, Volume_Discounts!A:C, 3, TRUE)</f>
        <v>0</v>
      </c>
      <c r="K51" s="2">
        <f>I51 * (1 - J51)</f>
        <v>0</v>
      </c>
      <c r="L51" s="3">
        <f>H51 * D51</f>
        <v>0</v>
      </c>
      <c r="M51" s="2">
        <f>VLOOKUP(E51, Shipping_Zones!A:C, 2, FALSE)</f>
        <v>0</v>
      </c>
      <c r="N51" s="2">
        <f>VLOOKUP(E51, Shipping_Zones!A:C, 3, FALSE)</f>
        <v>0</v>
      </c>
      <c r="O51" s="2">
        <f>M51 + (N51 * L51)</f>
        <v>0</v>
      </c>
      <c r="P51" s="2">
        <f>(F51 * D51) + O51</f>
        <v>0</v>
      </c>
      <c r="Q51" s="2">
        <f>K51 - P51</f>
        <v>0</v>
      </c>
    </row>
    <row r="52" spans="1:17">
      <c r="A52" t="s">
        <v>186</v>
      </c>
      <c r="B52" t="s">
        <v>484</v>
      </c>
      <c r="C52" t="s">
        <v>13</v>
      </c>
      <c r="D52">
        <v>19</v>
      </c>
      <c r="E52" t="s">
        <v>117</v>
      </c>
      <c r="F52" s="2">
        <f>VLOOKUP(C52, Products!A:F, 4, FALSE)</f>
        <v>0</v>
      </c>
      <c r="G52" s="2">
        <f>VLOOKUP(C52, Products!A:F, 5, FALSE)</f>
        <v>0</v>
      </c>
      <c r="H52" s="3">
        <f>VLOOKUP(C52, Products!A:F, 6, FALSE)</f>
        <v>0</v>
      </c>
      <c r="I52" s="2">
        <f>G52 * D52</f>
        <v>0</v>
      </c>
      <c r="J52" s="4">
        <f>VLOOKUP(D52, Volume_Discounts!A:C, 3, TRUE)</f>
        <v>0</v>
      </c>
      <c r="K52" s="2">
        <f>I52 * (1 - J52)</f>
        <v>0</v>
      </c>
      <c r="L52" s="3">
        <f>H52 * D52</f>
        <v>0</v>
      </c>
      <c r="M52" s="2">
        <f>VLOOKUP(E52, Shipping_Zones!A:C, 2, FALSE)</f>
        <v>0</v>
      </c>
      <c r="N52" s="2">
        <f>VLOOKUP(E52, Shipping_Zones!A:C, 3, FALSE)</f>
        <v>0</v>
      </c>
      <c r="O52" s="2">
        <f>M52 + (N52 * L52)</f>
        <v>0</v>
      </c>
      <c r="P52" s="2">
        <f>(F52 * D52) + O52</f>
        <v>0</v>
      </c>
      <c r="Q52" s="2">
        <f>K52 - P52</f>
        <v>0</v>
      </c>
    </row>
    <row r="53" spans="1:17">
      <c r="A53" t="s">
        <v>187</v>
      </c>
      <c r="B53" t="s">
        <v>485</v>
      </c>
      <c r="C53" t="s">
        <v>32</v>
      </c>
      <c r="D53">
        <v>44</v>
      </c>
      <c r="E53" t="s">
        <v>114</v>
      </c>
      <c r="F53" s="2">
        <f>VLOOKUP(C53, Products!A:F, 4, FALSE)</f>
        <v>0</v>
      </c>
      <c r="G53" s="2">
        <f>VLOOKUP(C53, Products!A:F, 5, FALSE)</f>
        <v>0</v>
      </c>
      <c r="H53" s="3">
        <f>VLOOKUP(C53, Products!A:F, 6, FALSE)</f>
        <v>0</v>
      </c>
      <c r="I53" s="2">
        <f>G53 * D53</f>
        <v>0</v>
      </c>
      <c r="J53" s="4">
        <f>VLOOKUP(D53, Volume_Discounts!A:C, 3, TRUE)</f>
        <v>0</v>
      </c>
      <c r="K53" s="2">
        <f>I53 * (1 - J53)</f>
        <v>0</v>
      </c>
      <c r="L53" s="3">
        <f>H53 * D53</f>
        <v>0</v>
      </c>
      <c r="M53" s="2">
        <f>VLOOKUP(E53, Shipping_Zones!A:C, 2, FALSE)</f>
        <v>0</v>
      </c>
      <c r="N53" s="2">
        <f>VLOOKUP(E53, Shipping_Zones!A:C, 3, FALSE)</f>
        <v>0</v>
      </c>
      <c r="O53" s="2">
        <f>M53 + (N53 * L53)</f>
        <v>0</v>
      </c>
      <c r="P53" s="2">
        <f>(F53 * D53) + O53</f>
        <v>0</v>
      </c>
      <c r="Q53" s="2">
        <f>K53 - P53</f>
        <v>0</v>
      </c>
    </row>
    <row r="54" spans="1:17">
      <c r="A54" t="s">
        <v>188</v>
      </c>
      <c r="B54" t="s">
        <v>486</v>
      </c>
      <c r="C54" t="s">
        <v>15</v>
      </c>
      <c r="D54">
        <v>65</v>
      </c>
      <c r="E54" t="s">
        <v>117</v>
      </c>
      <c r="F54" s="2">
        <f>VLOOKUP(C54, Products!A:F, 4, FALSE)</f>
        <v>0</v>
      </c>
      <c r="G54" s="2">
        <f>VLOOKUP(C54, Products!A:F, 5, FALSE)</f>
        <v>0</v>
      </c>
      <c r="H54" s="3">
        <f>VLOOKUP(C54, Products!A:F, 6, FALSE)</f>
        <v>0</v>
      </c>
      <c r="I54" s="2">
        <f>G54 * D54</f>
        <v>0</v>
      </c>
      <c r="J54" s="4">
        <f>VLOOKUP(D54, Volume_Discounts!A:C, 3, TRUE)</f>
        <v>0</v>
      </c>
      <c r="K54" s="2">
        <f>I54 * (1 - J54)</f>
        <v>0</v>
      </c>
      <c r="L54" s="3">
        <f>H54 * D54</f>
        <v>0</v>
      </c>
      <c r="M54" s="2">
        <f>VLOOKUP(E54, Shipping_Zones!A:C, 2, FALSE)</f>
        <v>0</v>
      </c>
      <c r="N54" s="2">
        <f>VLOOKUP(E54, Shipping_Zones!A:C, 3, FALSE)</f>
        <v>0</v>
      </c>
      <c r="O54" s="2">
        <f>M54 + (N54 * L54)</f>
        <v>0</v>
      </c>
      <c r="P54" s="2">
        <f>(F54 * D54) + O54</f>
        <v>0</v>
      </c>
      <c r="Q54" s="2">
        <f>K54 - P54</f>
        <v>0</v>
      </c>
    </row>
    <row r="55" spans="1:17">
      <c r="A55" t="s">
        <v>189</v>
      </c>
      <c r="B55" t="s">
        <v>487</v>
      </c>
      <c r="C55" t="s">
        <v>13</v>
      </c>
      <c r="D55">
        <v>9</v>
      </c>
      <c r="E55" t="s">
        <v>116</v>
      </c>
      <c r="F55" s="2">
        <f>VLOOKUP(C55, Products!A:F, 4, FALSE)</f>
        <v>0</v>
      </c>
      <c r="G55" s="2">
        <f>VLOOKUP(C55, Products!A:F, 5, FALSE)</f>
        <v>0</v>
      </c>
      <c r="H55" s="3">
        <f>VLOOKUP(C55, Products!A:F, 6, FALSE)</f>
        <v>0</v>
      </c>
      <c r="I55" s="2">
        <f>G55 * D55</f>
        <v>0</v>
      </c>
      <c r="J55" s="4">
        <f>VLOOKUP(D55, Volume_Discounts!A:C, 3, TRUE)</f>
        <v>0</v>
      </c>
      <c r="K55" s="2">
        <f>I55 * (1 - J55)</f>
        <v>0</v>
      </c>
      <c r="L55" s="3">
        <f>H55 * D55</f>
        <v>0</v>
      </c>
      <c r="M55" s="2">
        <f>VLOOKUP(E55, Shipping_Zones!A:C, 2, FALSE)</f>
        <v>0</v>
      </c>
      <c r="N55" s="2">
        <f>VLOOKUP(E55, Shipping_Zones!A:C, 3, FALSE)</f>
        <v>0</v>
      </c>
      <c r="O55" s="2">
        <f>M55 + (N55 * L55)</f>
        <v>0</v>
      </c>
      <c r="P55" s="2">
        <f>(F55 * D55) + O55</f>
        <v>0</v>
      </c>
      <c r="Q55" s="2">
        <f>K55 - P55</f>
        <v>0</v>
      </c>
    </row>
    <row r="56" spans="1:17">
      <c r="A56" t="s">
        <v>190</v>
      </c>
      <c r="B56" t="s">
        <v>483</v>
      </c>
      <c r="C56" t="s">
        <v>22</v>
      </c>
      <c r="D56">
        <v>118</v>
      </c>
      <c r="E56" t="s">
        <v>115</v>
      </c>
      <c r="F56" s="2">
        <f>VLOOKUP(C56, Products!A:F, 4, FALSE)</f>
        <v>0</v>
      </c>
      <c r="G56" s="2">
        <f>VLOOKUP(C56, Products!A:F, 5, FALSE)</f>
        <v>0</v>
      </c>
      <c r="H56" s="3">
        <f>VLOOKUP(C56, Products!A:F, 6, FALSE)</f>
        <v>0</v>
      </c>
      <c r="I56" s="2">
        <f>G56 * D56</f>
        <v>0</v>
      </c>
      <c r="J56" s="4">
        <f>VLOOKUP(D56, Volume_Discounts!A:C, 3, TRUE)</f>
        <v>0</v>
      </c>
      <c r="K56" s="2">
        <f>I56 * (1 - J56)</f>
        <v>0</v>
      </c>
      <c r="L56" s="3">
        <f>H56 * D56</f>
        <v>0</v>
      </c>
      <c r="M56" s="2">
        <f>VLOOKUP(E56, Shipping_Zones!A:C, 2, FALSE)</f>
        <v>0</v>
      </c>
      <c r="N56" s="2">
        <f>VLOOKUP(E56, Shipping_Zones!A:C, 3, FALSE)</f>
        <v>0</v>
      </c>
      <c r="O56" s="2">
        <f>M56 + (N56 * L56)</f>
        <v>0</v>
      </c>
      <c r="P56" s="2">
        <f>(F56 * D56) + O56</f>
        <v>0</v>
      </c>
      <c r="Q56" s="2">
        <f>K56 - P56</f>
        <v>0</v>
      </c>
    </row>
    <row r="57" spans="1:17">
      <c r="A57" t="s">
        <v>191</v>
      </c>
      <c r="B57" t="s">
        <v>467</v>
      </c>
      <c r="C57" t="s">
        <v>29</v>
      </c>
      <c r="D57">
        <v>37</v>
      </c>
      <c r="E57" t="s">
        <v>115</v>
      </c>
      <c r="F57" s="2">
        <f>VLOOKUP(C57, Products!A:F, 4, FALSE)</f>
        <v>0</v>
      </c>
      <c r="G57" s="2">
        <f>VLOOKUP(C57, Products!A:F, 5, FALSE)</f>
        <v>0</v>
      </c>
      <c r="H57" s="3">
        <f>VLOOKUP(C57, Products!A:F, 6, FALSE)</f>
        <v>0</v>
      </c>
      <c r="I57" s="2">
        <f>G57 * D57</f>
        <v>0</v>
      </c>
      <c r="J57" s="4">
        <f>VLOOKUP(D57, Volume_Discounts!A:C, 3, TRUE)</f>
        <v>0</v>
      </c>
      <c r="K57" s="2">
        <f>I57 * (1 - J57)</f>
        <v>0</v>
      </c>
      <c r="L57" s="3">
        <f>H57 * D57</f>
        <v>0</v>
      </c>
      <c r="M57" s="2">
        <f>VLOOKUP(E57, Shipping_Zones!A:C, 2, FALSE)</f>
        <v>0</v>
      </c>
      <c r="N57" s="2">
        <f>VLOOKUP(E57, Shipping_Zones!A:C, 3, FALSE)</f>
        <v>0</v>
      </c>
      <c r="O57" s="2">
        <f>M57 + (N57 * L57)</f>
        <v>0</v>
      </c>
      <c r="P57" s="2">
        <f>(F57 * D57) + O57</f>
        <v>0</v>
      </c>
      <c r="Q57" s="2">
        <f>K57 - P57</f>
        <v>0</v>
      </c>
    </row>
    <row r="58" spans="1:17">
      <c r="A58" t="s">
        <v>192</v>
      </c>
      <c r="B58" t="s">
        <v>488</v>
      </c>
      <c r="C58" t="s">
        <v>53</v>
      </c>
      <c r="D58">
        <v>15</v>
      </c>
      <c r="E58" t="s">
        <v>115</v>
      </c>
      <c r="F58" s="2">
        <f>VLOOKUP(C58, Products!A:F, 4, FALSE)</f>
        <v>0</v>
      </c>
      <c r="G58" s="2">
        <f>VLOOKUP(C58, Products!A:F, 5, FALSE)</f>
        <v>0</v>
      </c>
      <c r="H58" s="3">
        <f>VLOOKUP(C58, Products!A:F, 6, FALSE)</f>
        <v>0</v>
      </c>
      <c r="I58" s="2">
        <f>G58 * D58</f>
        <v>0</v>
      </c>
      <c r="J58" s="4">
        <f>VLOOKUP(D58, Volume_Discounts!A:C, 3, TRUE)</f>
        <v>0</v>
      </c>
      <c r="K58" s="2">
        <f>I58 * (1 - J58)</f>
        <v>0</v>
      </c>
      <c r="L58" s="3">
        <f>H58 * D58</f>
        <v>0</v>
      </c>
      <c r="M58" s="2">
        <f>VLOOKUP(E58, Shipping_Zones!A:C, 2, FALSE)</f>
        <v>0</v>
      </c>
      <c r="N58" s="2">
        <f>VLOOKUP(E58, Shipping_Zones!A:C, 3, FALSE)</f>
        <v>0</v>
      </c>
      <c r="O58" s="2">
        <f>M58 + (N58 * L58)</f>
        <v>0</v>
      </c>
      <c r="P58" s="2">
        <f>(F58 * D58) + O58</f>
        <v>0</v>
      </c>
      <c r="Q58" s="2">
        <f>K58 - P58</f>
        <v>0</v>
      </c>
    </row>
    <row r="59" spans="1:17">
      <c r="A59" t="s">
        <v>193</v>
      </c>
      <c r="B59" t="s">
        <v>489</v>
      </c>
      <c r="C59" t="s">
        <v>30</v>
      </c>
      <c r="D59">
        <v>14</v>
      </c>
      <c r="E59" t="s">
        <v>115</v>
      </c>
      <c r="F59" s="2">
        <f>VLOOKUP(C59, Products!A:F, 4, FALSE)</f>
        <v>0</v>
      </c>
      <c r="G59" s="2">
        <f>VLOOKUP(C59, Products!A:F, 5, FALSE)</f>
        <v>0</v>
      </c>
      <c r="H59" s="3">
        <f>VLOOKUP(C59, Products!A:F, 6, FALSE)</f>
        <v>0</v>
      </c>
      <c r="I59" s="2">
        <f>G59 * D59</f>
        <v>0</v>
      </c>
      <c r="J59" s="4">
        <f>VLOOKUP(D59, Volume_Discounts!A:C, 3, TRUE)</f>
        <v>0</v>
      </c>
      <c r="K59" s="2">
        <f>I59 * (1 - J59)</f>
        <v>0</v>
      </c>
      <c r="L59" s="3">
        <f>H59 * D59</f>
        <v>0</v>
      </c>
      <c r="M59" s="2">
        <f>VLOOKUP(E59, Shipping_Zones!A:C, 2, FALSE)</f>
        <v>0</v>
      </c>
      <c r="N59" s="2">
        <f>VLOOKUP(E59, Shipping_Zones!A:C, 3, FALSE)</f>
        <v>0</v>
      </c>
      <c r="O59" s="2">
        <f>M59 + (N59 * L59)</f>
        <v>0</v>
      </c>
      <c r="P59" s="2">
        <f>(F59 * D59) + O59</f>
        <v>0</v>
      </c>
      <c r="Q59" s="2">
        <f>K59 - P59</f>
        <v>0</v>
      </c>
    </row>
    <row r="60" spans="1:17">
      <c r="A60" t="s">
        <v>194</v>
      </c>
      <c r="B60" t="s">
        <v>490</v>
      </c>
      <c r="C60" t="s">
        <v>44</v>
      </c>
      <c r="D60">
        <v>52</v>
      </c>
      <c r="E60" t="s">
        <v>115</v>
      </c>
      <c r="F60" s="2">
        <f>VLOOKUP(C60, Products!A:F, 4, FALSE)</f>
        <v>0</v>
      </c>
      <c r="G60" s="2">
        <f>VLOOKUP(C60, Products!A:F, 5, FALSE)</f>
        <v>0</v>
      </c>
      <c r="H60" s="3">
        <f>VLOOKUP(C60, Products!A:F, 6, FALSE)</f>
        <v>0</v>
      </c>
      <c r="I60" s="2">
        <f>G60 * D60</f>
        <v>0</v>
      </c>
      <c r="J60" s="4">
        <f>VLOOKUP(D60, Volume_Discounts!A:C, 3, TRUE)</f>
        <v>0</v>
      </c>
      <c r="K60" s="2">
        <f>I60 * (1 - J60)</f>
        <v>0</v>
      </c>
      <c r="L60" s="3">
        <f>H60 * D60</f>
        <v>0</v>
      </c>
      <c r="M60" s="2">
        <f>VLOOKUP(E60, Shipping_Zones!A:C, 2, FALSE)</f>
        <v>0</v>
      </c>
      <c r="N60" s="2">
        <f>VLOOKUP(E60, Shipping_Zones!A:C, 3, FALSE)</f>
        <v>0</v>
      </c>
      <c r="O60" s="2">
        <f>M60 + (N60 * L60)</f>
        <v>0</v>
      </c>
      <c r="P60" s="2">
        <f>(F60 * D60) + O60</f>
        <v>0</v>
      </c>
      <c r="Q60" s="2">
        <f>K60 - P60</f>
        <v>0</v>
      </c>
    </row>
    <row r="61" spans="1:17">
      <c r="A61" t="s">
        <v>195</v>
      </c>
      <c r="B61" t="s">
        <v>491</v>
      </c>
      <c r="C61" t="s">
        <v>42</v>
      </c>
      <c r="D61">
        <v>82</v>
      </c>
      <c r="E61" t="s">
        <v>115</v>
      </c>
      <c r="F61" s="2">
        <f>VLOOKUP(C61, Products!A:F, 4, FALSE)</f>
        <v>0</v>
      </c>
      <c r="G61" s="2">
        <f>VLOOKUP(C61, Products!A:F, 5, FALSE)</f>
        <v>0</v>
      </c>
      <c r="H61" s="3">
        <f>VLOOKUP(C61, Products!A:F, 6, FALSE)</f>
        <v>0</v>
      </c>
      <c r="I61" s="2">
        <f>G61 * D61</f>
        <v>0</v>
      </c>
      <c r="J61" s="4">
        <f>VLOOKUP(D61, Volume_Discounts!A:C, 3, TRUE)</f>
        <v>0</v>
      </c>
      <c r="K61" s="2">
        <f>I61 * (1 - J61)</f>
        <v>0</v>
      </c>
      <c r="L61" s="3">
        <f>H61 * D61</f>
        <v>0</v>
      </c>
      <c r="M61" s="2">
        <f>VLOOKUP(E61, Shipping_Zones!A:C, 2, FALSE)</f>
        <v>0</v>
      </c>
      <c r="N61" s="2">
        <f>VLOOKUP(E61, Shipping_Zones!A:C, 3, FALSE)</f>
        <v>0</v>
      </c>
      <c r="O61" s="2">
        <f>M61 + (N61 * L61)</f>
        <v>0</v>
      </c>
      <c r="P61" s="2">
        <f>(F61 * D61) + O61</f>
        <v>0</v>
      </c>
      <c r="Q61" s="2">
        <f>K61 - P61</f>
        <v>0</v>
      </c>
    </row>
    <row r="62" spans="1:17">
      <c r="A62" t="s">
        <v>196</v>
      </c>
      <c r="B62" t="s">
        <v>492</v>
      </c>
      <c r="C62" t="s">
        <v>7</v>
      </c>
      <c r="D62">
        <v>67</v>
      </c>
      <c r="E62" t="s">
        <v>115</v>
      </c>
      <c r="F62" s="2">
        <f>VLOOKUP(C62, Products!A:F, 4, FALSE)</f>
        <v>0</v>
      </c>
      <c r="G62" s="2">
        <f>VLOOKUP(C62, Products!A:F, 5, FALSE)</f>
        <v>0</v>
      </c>
      <c r="H62" s="3">
        <f>VLOOKUP(C62, Products!A:F, 6, FALSE)</f>
        <v>0</v>
      </c>
      <c r="I62" s="2">
        <f>G62 * D62</f>
        <v>0</v>
      </c>
      <c r="J62" s="4">
        <f>VLOOKUP(D62, Volume_Discounts!A:C, 3, TRUE)</f>
        <v>0</v>
      </c>
      <c r="K62" s="2">
        <f>I62 * (1 - J62)</f>
        <v>0</v>
      </c>
      <c r="L62" s="3">
        <f>H62 * D62</f>
        <v>0</v>
      </c>
      <c r="M62" s="2">
        <f>VLOOKUP(E62, Shipping_Zones!A:C, 2, FALSE)</f>
        <v>0</v>
      </c>
      <c r="N62" s="2">
        <f>VLOOKUP(E62, Shipping_Zones!A:C, 3, FALSE)</f>
        <v>0</v>
      </c>
      <c r="O62" s="2">
        <f>M62 + (N62 * L62)</f>
        <v>0</v>
      </c>
      <c r="P62" s="2">
        <f>(F62 * D62) + O62</f>
        <v>0</v>
      </c>
      <c r="Q62" s="2">
        <f>K62 - P62</f>
        <v>0</v>
      </c>
    </row>
    <row r="63" spans="1:17">
      <c r="A63" t="s">
        <v>197</v>
      </c>
      <c r="B63" t="s">
        <v>493</v>
      </c>
      <c r="C63" t="s">
        <v>47</v>
      </c>
      <c r="D63">
        <v>117</v>
      </c>
      <c r="E63" t="s">
        <v>117</v>
      </c>
      <c r="F63" s="2">
        <f>VLOOKUP(C63, Products!A:F, 4, FALSE)</f>
        <v>0</v>
      </c>
      <c r="G63" s="2">
        <f>VLOOKUP(C63, Products!A:F, 5, FALSE)</f>
        <v>0</v>
      </c>
      <c r="H63" s="3">
        <f>VLOOKUP(C63, Products!A:F, 6, FALSE)</f>
        <v>0</v>
      </c>
      <c r="I63" s="2">
        <f>G63 * D63</f>
        <v>0</v>
      </c>
      <c r="J63" s="4">
        <f>VLOOKUP(D63, Volume_Discounts!A:C, 3, TRUE)</f>
        <v>0</v>
      </c>
      <c r="K63" s="2">
        <f>I63 * (1 - J63)</f>
        <v>0</v>
      </c>
      <c r="L63" s="3">
        <f>H63 * D63</f>
        <v>0</v>
      </c>
      <c r="M63" s="2">
        <f>VLOOKUP(E63, Shipping_Zones!A:C, 2, FALSE)</f>
        <v>0</v>
      </c>
      <c r="N63" s="2">
        <f>VLOOKUP(E63, Shipping_Zones!A:C, 3, FALSE)</f>
        <v>0</v>
      </c>
      <c r="O63" s="2">
        <f>M63 + (N63 * L63)</f>
        <v>0</v>
      </c>
      <c r="P63" s="2">
        <f>(F63 * D63) + O63</f>
        <v>0</v>
      </c>
      <c r="Q63" s="2">
        <f>K63 - P63</f>
        <v>0</v>
      </c>
    </row>
    <row r="64" spans="1:17">
      <c r="A64" t="s">
        <v>198</v>
      </c>
      <c r="B64" t="s">
        <v>494</v>
      </c>
      <c r="C64" t="s">
        <v>33</v>
      </c>
      <c r="D64">
        <v>75</v>
      </c>
      <c r="E64" t="s">
        <v>115</v>
      </c>
      <c r="F64" s="2">
        <f>VLOOKUP(C64, Products!A:F, 4, FALSE)</f>
        <v>0</v>
      </c>
      <c r="G64" s="2">
        <f>VLOOKUP(C64, Products!A:F, 5, FALSE)</f>
        <v>0</v>
      </c>
      <c r="H64" s="3">
        <f>VLOOKUP(C64, Products!A:F, 6, FALSE)</f>
        <v>0</v>
      </c>
      <c r="I64" s="2">
        <f>G64 * D64</f>
        <v>0</v>
      </c>
      <c r="J64" s="4">
        <f>VLOOKUP(D64, Volume_Discounts!A:C, 3, TRUE)</f>
        <v>0</v>
      </c>
      <c r="K64" s="2">
        <f>I64 * (1 - J64)</f>
        <v>0</v>
      </c>
      <c r="L64" s="3">
        <f>H64 * D64</f>
        <v>0</v>
      </c>
      <c r="M64" s="2">
        <f>VLOOKUP(E64, Shipping_Zones!A:C, 2, FALSE)</f>
        <v>0</v>
      </c>
      <c r="N64" s="2">
        <f>VLOOKUP(E64, Shipping_Zones!A:C, 3, FALSE)</f>
        <v>0</v>
      </c>
      <c r="O64" s="2">
        <f>M64 + (N64 * L64)</f>
        <v>0</v>
      </c>
      <c r="P64" s="2">
        <f>(F64 * D64) + O64</f>
        <v>0</v>
      </c>
      <c r="Q64" s="2">
        <f>K64 - P64</f>
        <v>0</v>
      </c>
    </row>
    <row r="65" spans="1:17">
      <c r="A65" t="s">
        <v>199</v>
      </c>
      <c r="B65" t="s">
        <v>495</v>
      </c>
      <c r="C65" t="s">
        <v>39</v>
      </c>
      <c r="D65">
        <v>69</v>
      </c>
      <c r="E65" t="s">
        <v>114</v>
      </c>
      <c r="F65" s="2">
        <f>VLOOKUP(C65, Products!A:F, 4, FALSE)</f>
        <v>0</v>
      </c>
      <c r="G65" s="2">
        <f>VLOOKUP(C65, Products!A:F, 5, FALSE)</f>
        <v>0</v>
      </c>
      <c r="H65" s="3">
        <f>VLOOKUP(C65, Products!A:F, 6, FALSE)</f>
        <v>0</v>
      </c>
      <c r="I65" s="2">
        <f>G65 * D65</f>
        <v>0</v>
      </c>
      <c r="J65" s="4">
        <f>VLOOKUP(D65, Volume_Discounts!A:C, 3, TRUE)</f>
        <v>0</v>
      </c>
      <c r="K65" s="2">
        <f>I65 * (1 - J65)</f>
        <v>0</v>
      </c>
      <c r="L65" s="3">
        <f>H65 * D65</f>
        <v>0</v>
      </c>
      <c r="M65" s="2">
        <f>VLOOKUP(E65, Shipping_Zones!A:C, 2, FALSE)</f>
        <v>0</v>
      </c>
      <c r="N65" s="2">
        <f>VLOOKUP(E65, Shipping_Zones!A:C, 3, FALSE)</f>
        <v>0</v>
      </c>
      <c r="O65" s="2">
        <f>M65 + (N65 * L65)</f>
        <v>0</v>
      </c>
      <c r="P65" s="2">
        <f>(F65 * D65) + O65</f>
        <v>0</v>
      </c>
      <c r="Q65" s="2">
        <f>K65 - P65</f>
        <v>0</v>
      </c>
    </row>
    <row r="66" spans="1:17">
      <c r="A66" t="s">
        <v>200</v>
      </c>
      <c r="B66" t="s">
        <v>496</v>
      </c>
      <c r="C66" t="s">
        <v>37</v>
      </c>
      <c r="D66">
        <v>87</v>
      </c>
      <c r="E66" t="s">
        <v>114</v>
      </c>
      <c r="F66" s="2">
        <f>VLOOKUP(C66, Products!A:F, 4, FALSE)</f>
        <v>0</v>
      </c>
      <c r="G66" s="2">
        <f>VLOOKUP(C66, Products!A:F, 5, FALSE)</f>
        <v>0</v>
      </c>
      <c r="H66" s="3">
        <f>VLOOKUP(C66, Products!A:F, 6, FALSE)</f>
        <v>0</v>
      </c>
      <c r="I66" s="2">
        <f>G66 * D66</f>
        <v>0</v>
      </c>
      <c r="J66" s="4">
        <f>VLOOKUP(D66, Volume_Discounts!A:C, 3, TRUE)</f>
        <v>0</v>
      </c>
      <c r="K66" s="2">
        <f>I66 * (1 - J66)</f>
        <v>0</v>
      </c>
      <c r="L66" s="3">
        <f>H66 * D66</f>
        <v>0</v>
      </c>
      <c r="M66" s="2">
        <f>VLOOKUP(E66, Shipping_Zones!A:C, 2, FALSE)</f>
        <v>0</v>
      </c>
      <c r="N66" s="2">
        <f>VLOOKUP(E66, Shipping_Zones!A:C, 3, FALSE)</f>
        <v>0</v>
      </c>
      <c r="O66" s="2">
        <f>M66 + (N66 * L66)</f>
        <v>0</v>
      </c>
      <c r="P66" s="2">
        <f>(F66 * D66) + O66</f>
        <v>0</v>
      </c>
      <c r="Q66" s="2">
        <f>K66 - P66</f>
        <v>0</v>
      </c>
    </row>
    <row r="67" spans="1:17">
      <c r="A67" t="s">
        <v>201</v>
      </c>
      <c r="B67" t="s">
        <v>497</v>
      </c>
      <c r="C67" t="s">
        <v>16</v>
      </c>
      <c r="D67">
        <v>36</v>
      </c>
      <c r="E67" t="s">
        <v>115</v>
      </c>
      <c r="F67" s="2">
        <f>VLOOKUP(C67, Products!A:F, 4, FALSE)</f>
        <v>0</v>
      </c>
      <c r="G67" s="2">
        <f>VLOOKUP(C67, Products!A:F, 5, FALSE)</f>
        <v>0</v>
      </c>
      <c r="H67" s="3">
        <f>VLOOKUP(C67, Products!A:F, 6, FALSE)</f>
        <v>0</v>
      </c>
      <c r="I67" s="2">
        <f>G67 * D67</f>
        <v>0</v>
      </c>
      <c r="J67" s="4">
        <f>VLOOKUP(D67, Volume_Discounts!A:C, 3, TRUE)</f>
        <v>0</v>
      </c>
      <c r="K67" s="2">
        <f>I67 * (1 - J67)</f>
        <v>0</v>
      </c>
      <c r="L67" s="3">
        <f>H67 * D67</f>
        <v>0</v>
      </c>
      <c r="M67" s="2">
        <f>VLOOKUP(E67, Shipping_Zones!A:C, 2, FALSE)</f>
        <v>0</v>
      </c>
      <c r="N67" s="2">
        <f>VLOOKUP(E67, Shipping_Zones!A:C, 3, FALSE)</f>
        <v>0</v>
      </c>
      <c r="O67" s="2">
        <f>M67 + (N67 * L67)</f>
        <v>0</v>
      </c>
      <c r="P67" s="2">
        <f>(F67 * D67) + O67</f>
        <v>0</v>
      </c>
      <c r="Q67" s="2">
        <f>K67 - P67</f>
        <v>0</v>
      </c>
    </row>
    <row r="68" spans="1:17">
      <c r="A68" t="s">
        <v>202</v>
      </c>
      <c r="B68" t="s">
        <v>488</v>
      </c>
      <c r="C68" t="s">
        <v>9</v>
      </c>
      <c r="D68">
        <v>56</v>
      </c>
      <c r="E68" t="s">
        <v>114</v>
      </c>
      <c r="F68" s="2">
        <f>VLOOKUP(C68, Products!A:F, 4, FALSE)</f>
        <v>0</v>
      </c>
      <c r="G68" s="2">
        <f>VLOOKUP(C68, Products!A:F, 5, FALSE)</f>
        <v>0</v>
      </c>
      <c r="H68" s="3">
        <f>VLOOKUP(C68, Products!A:F, 6, FALSE)</f>
        <v>0</v>
      </c>
      <c r="I68" s="2">
        <f>G68 * D68</f>
        <v>0</v>
      </c>
      <c r="J68" s="4">
        <f>VLOOKUP(D68, Volume_Discounts!A:C, 3, TRUE)</f>
        <v>0</v>
      </c>
      <c r="K68" s="2">
        <f>I68 * (1 - J68)</f>
        <v>0</v>
      </c>
      <c r="L68" s="3">
        <f>H68 * D68</f>
        <v>0</v>
      </c>
      <c r="M68" s="2">
        <f>VLOOKUP(E68, Shipping_Zones!A:C, 2, FALSE)</f>
        <v>0</v>
      </c>
      <c r="N68" s="2">
        <f>VLOOKUP(E68, Shipping_Zones!A:C, 3, FALSE)</f>
        <v>0</v>
      </c>
      <c r="O68" s="2">
        <f>M68 + (N68 * L68)</f>
        <v>0</v>
      </c>
      <c r="P68" s="2">
        <f>(F68 * D68) + O68</f>
        <v>0</v>
      </c>
      <c r="Q68" s="2">
        <f>K68 - P68</f>
        <v>0</v>
      </c>
    </row>
    <row r="69" spans="1:17">
      <c r="A69" t="s">
        <v>203</v>
      </c>
      <c r="B69" t="s">
        <v>498</v>
      </c>
      <c r="C69" t="s">
        <v>27</v>
      </c>
      <c r="D69">
        <v>45</v>
      </c>
      <c r="E69" t="s">
        <v>114</v>
      </c>
      <c r="F69" s="2">
        <f>VLOOKUP(C69, Products!A:F, 4, FALSE)</f>
        <v>0</v>
      </c>
      <c r="G69" s="2">
        <f>VLOOKUP(C69, Products!A:F, 5, FALSE)</f>
        <v>0</v>
      </c>
      <c r="H69" s="3">
        <f>VLOOKUP(C69, Products!A:F, 6, FALSE)</f>
        <v>0</v>
      </c>
      <c r="I69" s="2">
        <f>G69 * D69</f>
        <v>0</v>
      </c>
      <c r="J69" s="4">
        <f>VLOOKUP(D69, Volume_Discounts!A:C, 3, TRUE)</f>
        <v>0</v>
      </c>
      <c r="K69" s="2">
        <f>I69 * (1 - J69)</f>
        <v>0</v>
      </c>
      <c r="L69" s="3">
        <f>H69 * D69</f>
        <v>0</v>
      </c>
      <c r="M69" s="2">
        <f>VLOOKUP(E69, Shipping_Zones!A:C, 2, FALSE)</f>
        <v>0</v>
      </c>
      <c r="N69" s="2">
        <f>VLOOKUP(E69, Shipping_Zones!A:C, 3, FALSE)</f>
        <v>0</v>
      </c>
      <c r="O69" s="2">
        <f>M69 + (N69 * L69)</f>
        <v>0</v>
      </c>
      <c r="P69" s="2">
        <f>(F69 * D69) + O69</f>
        <v>0</v>
      </c>
      <c r="Q69" s="2">
        <f>K69 - P69</f>
        <v>0</v>
      </c>
    </row>
    <row r="70" spans="1:17">
      <c r="A70" t="s">
        <v>204</v>
      </c>
      <c r="B70" t="s">
        <v>499</v>
      </c>
      <c r="C70" t="s">
        <v>10</v>
      </c>
      <c r="D70">
        <v>13</v>
      </c>
      <c r="E70" t="s">
        <v>115</v>
      </c>
      <c r="F70" s="2">
        <f>VLOOKUP(C70, Products!A:F, 4, FALSE)</f>
        <v>0</v>
      </c>
      <c r="G70" s="2">
        <f>VLOOKUP(C70, Products!A:F, 5, FALSE)</f>
        <v>0</v>
      </c>
      <c r="H70" s="3">
        <f>VLOOKUP(C70, Products!A:F, 6, FALSE)</f>
        <v>0</v>
      </c>
      <c r="I70" s="2">
        <f>G70 * D70</f>
        <v>0</v>
      </c>
      <c r="J70" s="4">
        <f>VLOOKUP(D70, Volume_Discounts!A:C, 3, TRUE)</f>
        <v>0</v>
      </c>
      <c r="K70" s="2">
        <f>I70 * (1 - J70)</f>
        <v>0</v>
      </c>
      <c r="L70" s="3">
        <f>H70 * D70</f>
        <v>0</v>
      </c>
      <c r="M70" s="2">
        <f>VLOOKUP(E70, Shipping_Zones!A:C, 2, FALSE)</f>
        <v>0</v>
      </c>
      <c r="N70" s="2">
        <f>VLOOKUP(E70, Shipping_Zones!A:C, 3, FALSE)</f>
        <v>0</v>
      </c>
      <c r="O70" s="2">
        <f>M70 + (N70 * L70)</f>
        <v>0</v>
      </c>
      <c r="P70" s="2">
        <f>(F70 * D70) + O70</f>
        <v>0</v>
      </c>
      <c r="Q70" s="2">
        <f>K70 - P70</f>
        <v>0</v>
      </c>
    </row>
    <row r="71" spans="1:17">
      <c r="A71" t="s">
        <v>205</v>
      </c>
      <c r="B71" t="s">
        <v>500</v>
      </c>
      <c r="C71" t="s">
        <v>6</v>
      </c>
      <c r="D71">
        <v>53</v>
      </c>
      <c r="E71" t="s">
        <v>114</v>
      </c>
      <c r="F71" s="2">
        <f>VLOOKUP(C71, Products!A:F, 4, FALSE)</f>
        <v>0</v>
      </c>
      <c r="G71" s="2">
        <f>VLOOKUP(C71, Products!A:F, 5, FALSE)</f>
        <v>0</v>
      </c>
      <c r="H71" s="3">
        <f>VLOOKUP(C71, Products!A:F, 6, FALSE)</f>
        <v>0</v>
      </c>
      <c r="I71" s="2">
        <f>G71 * D71</f>
        <v>0</v>
      </c>
      <c r="J71" s="4">
        <f>VLOOKUP(D71, Volume_Discounts!A:C, 3, TRUE)</f>
        <v>0</v>
      </c>
      <c r="K71" s="2">
        <f>I71 * (1 - J71)</f>
        <v>0</v>
      </c>
      <c r="L71" s="3">
        <f>H71 * D71</f>
        <v>0</v>
      </c>
      <c r="M71" s="2">
        <f>VLOOKUP(E71, Shipping_Zones!A:C, 2, FALSE)</f>
        <v>0</v>
      </c>
      <c r="N71" s="2">
        <f>VLOOKUP(E71, Shipping_Zones!A:C, 3, FALSE)</f>
        <v>0</v>
      </c>
      <c r="O71" s="2">
        <f>M71 + (N71 * L71)</f>
        <v>0</v>
      </c>
      <c r="P71" s="2">
        <f>(F71 * D71) + O71</f>
        <v>0</v>
      </c>
      <c r="Q71" s="2">
        <f>K71 - P71</f>
        <v>0</v>
      </c>
    </row>
    <row r="72" spans="1:17">
      <c r="A72" t="s">
        <v>206</v>
      </c>
      <c r="B72" t="s">
        <v>501</v>
      </c>
      <c r="C72" t="s">
        <v>37</v>
      </c>
      <c r="D72">
        <v>88</v>
      </c>
      <c r="E72" t="s">
        <v>114</v>
      </c>
      <c r="F72" s="2">
        <f>VLOOKUP(C72, Products!A:F, 4, FALSE)</f>
        <v>0</v>
      </c>
      <c r="G72" s="2">
        <f>VLOOKUP(C72, Products!A:F, 5, FALSE)</f>
        <v>0</v>
      </c>
      <c r="H72" s="3">
        <f>VLOOKUP(C72, Products!A:F, 6, FALSE)</f>
        <v>0</v>
      </c>
      <c r="I72" s="2">
        <f>G72 * D72</f>
        <v>0</v>
      </c>
      <c r="J72" s="4">
        <f>VLOOKUP(D72, Volume_Discounts!A:C, 3, TRUE)</f>
        <v>0</v>
      </c>
      <c r="K72" s="2">
        <f>I72 * (1 - J72)</f>
        <v>0</v>
      </c>
      <c r="L72" s="3">
        <f>H72 * D72</f>
        <v>0</v>
      </c>
      <c r="M72" s="2">
        <f>VLOOKUP(E72, Shipping_Zones!A:C, 2, FALSE)</f>
        <v>0</v>
      </c>
      <c r="N72" s="2">
        <f>VLOOKUP(E72, Shipping_Zones!A:C, 3, FALSE)</f>
        <v>0</v>
      </c>
      <c r="O72" s="2">
        <f>M72 + (N72 * L72)</f>
        <v>0</v>
      </c>
      <c r="P72" s="2">
        <f>(F72 * D72) + O72</f>
        <v>0</v>
      </c>
      <c r="Q72" s="2">
        <f>K72 - P72</f>
        <v>0</v>
      </c>
    </row>
    <row r="73" spans="1:17">
      <c r="A73" t="s">
        <v>207</v>
      </c>
      <c r="B73" t="s">
        <v>502</v>
      </c>
      <c r="C73" t="s">
        <v>51</v>
      </c>
      <c r="D73">
        <v>106</v>
      </c>
      <c r="E73" t="s">
        <v>115</v>
      </c>
      <c r="F73" s="2">
        <f>VLOOKUP(C73, Products!A:F, 4, FALSE)</f>
        <v>0</v>
      </c>
      <c r="G73" s="2">
        <f>VLOOKUP(C73, Products!A:F, 5, FALSE)</f>
        <v>0</v>
      </c>
      <c r="H73" s="3">
        <f>VLOOKUP(C73, Products!A:F, 6, FALSE)</f>
        <v>0</v>
      </c>
      <c r="I73" s="2">
        <f>G73 * D73</f>
        <v>0</v>
      </c>
      <c r="J73" s="4">
        <f>VLOOKUP(D73, Volume_Discounts!A:C, 3, TRUE)</f>
        <v>0</v>
      </c>
      <c r="K73" s="2">
        <f>I73 * (1 - J73)</f>
        <v>0</v>
      </c>
      <c r="L73" s="3">
        <f>H73 * D73</f>
        <v>0</v>
      </c>
      <c r="M73" s="2">
        <f>VLOOKUP(E73, Shipping_Zones!A:C, 2, FALSE)</f>
        <v>0</v>
      </c>
      <c r="N73" s="2">
        <f>VLOOKUP(E73, Shipping_Zones!A:C, 3, FALSE)</f>
        <v>0</v>
      </c>
      <c r="O73" s="2">
        <f>M73 + (N73 * L73)</f>
        <v>0</v>
      </c>
      <c r="P73" s="2">
        <f>(F73 * D73) + O73</f>
        <v>0</v>
      </c>
      <c r="Q73" s="2">
        <f>K73 - P73</f>
        <v>0</v>
      </c>
    </row>
    <row r="74" spans="1:17">
      <c r="A74" t="s">
        <v>208</v>
      </c>
      <c r="B74" t="s">
        <v>503</v>
      </c>
      <c r="C74" t="s">
        <v>10</v>
      </c>
      <c r="D74">
        <v>18</v>
      </c>
      <c r="E74" t="s">
        <v>114</v>
      </c>
      <c r="F74" s="2">
        <f>VLOOKUP(C74, Products!A:F, 4, FALSE)</f>
        <v>0</v>
      </c>
      <c r="G74" s="2">
        <f>VLOOKUP(C74, Products!A:F, 5, FALSE)</f>
        <v>0</v>
      </c>
      <c r="H74" s="3">
        <f>VLOOKUP(C74, Products!A:F, 6, FALSE)</f>
        <v>0</v>
      </c>
      <c r="I74" s="2">
        <f>G74 * D74</f>
        <v>0</v>
      </c>
      <c r="J74" s="4">
        <f>VLOOKUP(D74, Volume_Discounts!A:C, 3, TRUE)</f>
        <v>0</v>
      </c>
      <c r="K74" s="2">
        <f>I74 * (1 - J74)</f>
        <v>0</v>
      </c>
      <c r="L74" s="3">
        <f>H74 * D74</f>
        <v>0</v>
      </c>
      <c r="M74" s="2">
        <f>VLOOKUP(E74, Shipping_Zones!A:C, 2, FALSE)</f>
        <v>0</v>
      </c>
      <c r="N74" s="2">
        <f>VLOOKUP(E74, Shipping_Zones!A:C, 3, FALSE)</f>
        <v>0</v>
      </c>
      <c r="O74" s="2">
        <f>M74 + (N74 * L74)</f>
        <v>0</v>
      </c>
      <c r="P74" s="2">
        <f>(F74 * D74) + O74</f>
        <v>0</v>
      </c>
      <c r="Q74" s="2">
        <f>K74 - P74</f>
        <v>0</v>
      </c>
    </row>
    <row r="75" spans="1:17">
      <c r="A75" t="s">
        <v>209</v>
      </c>
      <c r="B75" t="s">
        <v>504</v>
      </c>
      <c r="C75" t="s">
        <v>48</v>
      </c>
      <c r="D75">
        <v>106</v>
      </c>
      <c r="E75" t="s">
        <v>117</v>
      </c>
      <c r="F75" s="2">
        <f>VLOOKUP(C75, Products!A:F, 4, FALSE)</f>
        <v>0</v>
      </c>
      <c r="G75" s="2">
        <f>VLOOKUP(C75, Products!A:F, 5, FALSE)</f>
        <v>0</v>
      </c>
      <c r="H75" s="3">
        <f>VLOOKUP(C75, Products!A:F, 6, FALSE)</f>
        <v>0</v>
      </c>
      <c r="I75" s="2">
        <f>G75 * D75</f>
        <v>0</v>
      </c>
      <c r="J75" s="4">
        <f>VLOOKUP(D75, Volume_Discounts!A:C, 3, TRUE)</f>
        <v>0</v>
      </c>
      <c r="K75" s="2">
        <f>I75 * (1 - J75)</f>
        <v>0</v>
      </c>
      <c r="L75" s="3">
        <f>H75 * D75</f>
        <v>0</v>
      </c>
      <c r="M75" s="2">
        <f>VLOOKUP(E75, Shipping_Zones!A:C, 2, FALSE)</f>
        <v>0</v>
      </c>
      <c r="N75" s="2">
        <f>VLOOKUP(E75, Shipping_Zones!A:C, 3, FALSE)</f>
        <v>0</v>
      </c>
      <c r="O75" s="2">
        <f>M75 + (N75 * L75)</f>
        <v>0</v>
      </c>
      <c r="P75" s="2">
        <f>(F75 * D75) + O75</f>
        <v>0</v>
      </c>
      <c r="Q75" s="2">
        <f>K75 - P75</f>
        <v>0</v>
      </c>
    </row>
    <row r="76" spans="1:17">
      <c r="A76" t="s">
        <v>210</v>
      </c>
      <c r="B76" t="s">
        <v>505</v>
      </c>
      <c r="C76" t="s">
        <v>55</v>
      </c>
      <c r="D76">
        <v>86</v>
      </c>
      <c r="E76" t="s">
        <v>117</v>
      </c>
      <c r="F76" s="2">
        <f>VLOOKUP(C76, Products!A:F, 4, FALSE)</f>
        <v>0</v>
      </c>
      <c r="G76" s="2">
        <f>VLOOKUP(C76, Products!A:F, 5, FALSE)</f>
        <v>0</v>
      </c>
      <c r="H76" s="3">
        <f>VLOOKUP(C76, Products!A:F, 6, FALSE)</f>
        <v>0</v>
      </c>
      <c r="I76" s="2">
        <f>G76 * D76</f>
        <v>0</v>
      </c>
      <c r="J76" s="4">
        <f>VLOOKUP(D76, Volume_Discounts!A:C, 3, TRUE)</f>
        <v>0</v>
      </c>
      <c r="K76" s="2">
        <f>I76 * (1 - J76)</f>
        <v>0</v>
      </c>
      <c r="L76" s="3">
        <f>H76 * D76</f>
        <v>0</v>
      </c>
      <c r="M76" s="2">
        <f>VLOOKUP(E76, Shipping_Zones!A:C, 2, FALSE)</f>
        <v>0</v>
      </c>
      <c r="N76" s="2">
        <f>VLOOKUP(E76, Shipping_Zones!A:C, 3, FALSE)</f>
        <v>0</v>
      </c>
      <c r="O76" s="2">
        <f>M76 + (N76 * L76)</f>
        <v>0</v>
      </c>
      <c r="P76" s="2">
        <f>(F76 * D76) + O76</f>
        <v>0</v>
      </c>
      <c r="Q76" s="2">
        <f>K76 - P76</f>
        <v>0</v>
      </c>
    </row>
    <row r="77" spans="1:17">
      <c r="A77" t="s">
        <v>211</v>
      </c>
      <c r="B77" t="s">
        <v>506</v>
      </c>
      <c r="C77" t="s">
        <v>6</v>
      </c>
      <c r="D77">
        <v>25</v>
      </c>
      <c r="E77" t="s">
        <v>114</v>
      </c>
      <c r="F77" s="2">
        <f>VLOOKUP(C77, Products!A:F, 4, FALSE)</f>
        <v>0</v>
      </c>
      <c r="G77" s="2">
        <f>VLOOKUP(C77, Products!A:F, 5, FALSE)</f>
        <v>0</v>
      </c>
      <c r="H77" s="3">
        <f>VLOOKUP(C77, Products!A:F, 6, FALSE)</f>
        <v>0</v>
      </c>
      <c r="I77" s="2">
        <f>G77 * D77</f>
        <v>0</v>
      </c>
      <c r="J77" s="4">
        <f>VLOOKUP(D77, Volume_Discounts!A:C, 3, TRUE)</f>
        <v>0</v>
      </c>
      <c r="K77" s="2">
        <f>I77 * (1 - J77)</f>
        <v>0</v>
      </c>
      <c r="L77" s="3">
        <f>H77 * D77</f>
        <v>0</v>
      </c>
      <c r="M77" s="2">
        <f>VLOOKUP(E77, Shipping_Zones!A:C, 2, FALSE)</f>
        <v>0</v>
      </c>
      <c r="N77" s="2">
        <f>VLOOKUP(E77, Shipping_Zones!A:C, 3, FALSE)</f>
        <v>0</v>
      </c>
      <c r="O77" s="2">
        <f>M77 + (N77 * L77)</f>
        <v>0</v>
      </c>
      <c r="P77" s="2">
        <f>(F77 * D77) + O77</f>
        <v>0</v>
      </c>
      <c r="Q77" s="2">
        <f>K77 - P77</f>
        <v>0</v>
      </c>
    </row>
    <row r="78" spans="1:17">
      <c r="A78" t="s">
        <v>212</v>
      </c>
      <c r="B78" t="s">
        <v>507</v>
      </c>
      <c r="C78" t="s">
        <v>50</v>
      </c>
      <c r="D78">
        <v>23</v>
      </c>
      <c r="E78" t="s">
        <v>117</v>
      </c>
      <c r="F78" s="2">
        <f>VLOOKUP(C78, Products!A:F, 4, FALSE)</f>
        <v>0</v>
      </c>
      <c r="G78" s="2">
        <f>VLOOKUP(C78, Products!A:F, 5, FALSE)</f>
        <v>0</v>
      </c>
      <c r="H78" s="3">
        <f>VLOOKUP(C78, Products!A:F, 6, FALSE)</f>
        <v>0</v>
      </c>
      <c r="I78" s="2">
        <f>G78 * D78</f>
        <v>0</v>
      </c>
      <c r="J78" s="4">
        <f>VLOOKUP(D78, Volume_Discounts!A:C, 3, TRUE)</f>
        <v>0</v>
      </c>
      <c r="K78" s="2">
        <f>I78 * (1 - J78)</f>
        <v>0</v>
      </c>
      <c r="L78" s="3">
        <f>H78 * D78</f>
        <v>0</v>
      </c>
      <c r="M78" s="2">
        <f>VLOOKUP(E78, Shipping_Zones!A:C, 2, FALSE)</f>
        <v>0</v>
      </c>
      <c r="N78" s="2">
        <f>VLOOKUP(E78, Shipping_Zones!A:C, 3, FALSE)</f>
        <v>0</v>
      </c>
      <c r="O78" s="2">
        <f>M78 + (N78 * L78)</f>
        <v>0</v>
      </c>
      <c r="P78" s="2">
        <f>(F78 * D78) + O78</f>
        <v>0</v>
      </c>
      <c r="Q78" s="2">
        <f>K78 - P78</f>
        <v>0</v>
      </c>
    </row>
    <row r="79" spans="1:17">
      <c r="A79" t="s">
        <v>213</v>
      </c>
      <c r="B79" t="s">
        <v>508</v>
      </c>
      <c r="C79" t="s">
        <v>24</v>
      </c>
      <c r="D79">
        <v>117</v>
      </c>
      <c r="E79" t="s">
        <v>115</v>
      </c>
      <c r="F79" s="2">
        <f>VLOOKUP(C79, Products!A:F, 4, FALSE)</f>
        <v>0</v>
      </c>
      <c r="G79" s="2">
        <f>VLOOKUP(C79, Products!A:F, 5, FALSE)</f>
        <v>0</v>
      </c>
      <c r="H79" s="3">
        <f>VLOOKUP(C79, Products!A:F, 6, FALSE)</f>
        <v>0</v>
      </c>
      <c r="I79" s="2">
        <f>G79 * D79</f>
        <v>0</v>
      </c>
      <c r="J79" s="4">
        <f>VLOOKUP(D79, Volume_Discounts!A:C, 3, TRUE)</f>
        <v>0</v>
      </c>
      <c r="K79" s="2">
        <f>I79 * (1 - J79)</f>
        <v>0</v>
      </c>
      <c r="L79" s="3">
        <f>H79 * D79</f>
        <v>0</v>
      </c>
      <c r="M79" s="2">
        <f>VLOOKUP(E79, Shipping_Zones!A:C, 2, FALSE)</f>
        <v>0</v>
      </c>
      <c r="N79" s="2">
        <f>VLOOKUP(E79, Shipping_Zones!A:C, 3, FALSE)</f>
        <v>0</v>
      </c>
      <c r="O79" s="2">
        <f>M79 + (N79 * L79)</f>
        <v>0</v>
      </c>
      <c r="P79" s="2">
        <f>(F79 * D79) + O79</f>
        <v>0</v>
      </c>
      <c r="Q79" s="2">
        <f>K79 - P79</f>
        <v>0</v>
      </c>
    </row>
    <row r="80" spans="1:17">
      <c r="A80" t="s">
        <v>214</v>
      </c>
      <c r="B80" t="s">
        <v>509</v>
      </c>
      <c r="C80" t="s">
        <v>34</v>
      </c>
      <c r="D80">
        <v>8</v>
      </c>
      <c r="E80" t="s">
        <v>117</v>
      </c>
      <c r="F80" s="2">
        <f>VLOOKUP(C80, Products!A:F, 4, FALSE)</f>
        <v>0</v>
      </c>
      <c r="G80" s="2">
        <f>VLOOKUP(C80, Products!A:F, 5, FALSE)</f>
        <v>0</v>
      </c>
      <c r="H80" s="3">
        <f>VLOOKUP(C80, Products!A:F, 6, FALSE)</f>
        <v>0</v>
      </c>
      <c r="I80" s="2">
        <f>G80 * D80</f>
        <v>0</v>
      </c>
      <c r="J80" s="4">
        <f>VLOOKUP(D80, Volume_Discounts!A:C, 3, TRUE)</f>
        <v>0</v>
      </c>
      <c r="K80" s="2">
        <f>I80 * (1 - J80)</f>
        <v>0</v>
      </c>
      <c r="L80" s="3">
        <f>H80 * D80</f>
        <v>0</v>
      </c>
      <c r="M80" s="2">
        <f>VLOOKUP(E80, Shipping_Zones!A:C, 2, FALSE)</f>
        <v>0</v>
      </c>
      <c r="N80" s="2">
        <f>VLOOKUP(E80, Shipping_Zones!A:C, 3, FALSE)</f>
        <v>0</v>
      </c>
      <c r="O80" s="2">
        <f>M80 + (N80 * L80)</f>
        <v>0</v>
      </c>
      <c r="P80" s="2">
        <f>(F80 * D80) + O80</f>
        <v>0</v>
      </c>
      <c r="Q80" s="2">
        <f>K80 - P80</f>
        <v>0</v>
      </c>
    </row>
    <row r="81" spans="1:17">
      <c r="A81" t="s">
        <v>215</v>
      </c>
      <c r="B81" t="s">
        <v>510</v>
      </c>
      <c r="C81" t="s">
        <v>50</v>
      </c>
      <c r="D81">
        <v>98</v>
      </c>
      <c r="E81" t="s">
        <v>114</v>
      </c>
      <c r="F81" s="2">
        <f>VLOOKUP(C81, Products!A:F, 4, FALSE)</f>
        <v>0</v>
      </c>
      <c r="G81" s="2">
        <f>VLOOKUP(C81, Products!A:F, 5, FALSE)</f>
        <v>0</v>
      </c>
      <c r="H81" s="3">
        <f>VLOOKUP(C81, Products!A:F, 6, FALSE)</f>
        <v>0</v>
      </c>
      <c r="I81" s="2">
        <f>G81 * D81</f>
        <v>0</v>
      </c>
      <c r="J81" s="4">
        <f>VLOOKUP(D81, Volume_Discounts!A:C, 3, TRUE)</f>
        <v>0</v>
      </c>
      <c r="K81" s="2">
        <f>I81 * (1 - J81)</f>
        <v>0</v>
      </c>
      <c r="L81" s="3">
        <f>H81 * D81</f>
        <v>0</v>
      </c>
      <c r="M81" s="2">
        <f>VLOOKUP(E81, Shipping_Zones!A:C, 2, FALSE)</f>
        <v>0</v>
      </c>
      <c r="N81" s="2">
        <f>VLOOKUP(E81, Shipping_Zones!A:C, 3, FALSE)</f>
        <v>0</v>
      </c>
      <c r="O81" s="2">
        <f>M81 + (N81 * L81)</f>
        <v>0</v>
      </c>
      <c r="P81" s="2">
        <f>(F81 * D81) + O81</f>
        <v>0</v>
      </c>
      <c r="Q81" s="2">
        <f>K81 - P81</f>
        <v>0</v>
      </c>
    </row>
    <row r="82" spans="1:17">
      <c r="A82" t="s">
        <v>216</v>
      </c>
      <c r="B82" t="s">
        <v>511</v>
      </c>
      <c r="C82" t="s">
        <v>48</v>
      </c>
      <c r="D82">
        <v>89</v>
      </c>
      <c r="E82" t="s">
        <v>117</v>
      </c>
      <c r="F82" s="2">
        <f>VLOOKUP(C82, Products!A:F, 4, FALSE)</f>
        <v>0</v>
      </c>
      <c r="G82" s="2">
        <f>VLOOKUP(C82, Products!A:F, 5, FALSE)</f>
        <v>0</v>
      </c>
      <c r="H82" s="3">
        <f>VLOOKUP(C82, Products!A:F, 6, FALSE)</f>
        <v>0</v>
      </c>
      <c r="I82" s="2">
        <f>G82 * D82</f>
        <v>0</v>
      </c>
      <c r="J82" s="4">
        <f>VLOOKUP(D82, Volume_Discounts!A:C, 3, TRUE)</f>
        <v>0</v>
      </c>
      <c r="K82" s="2">
        <f>I82 * (1 - J82)</f>
        <v>0</v>
      </c>
      <c r="L82" s="3">
        <f>H82 * D82</f>
        <v>0</v>
      </c>
      <c r="M82" s="2">
        <f>VLOOKUP(E82, Shipping_Zones!A:C, 2, FALSE)</f>
        <v>0</v>
      </c>
      <c r="N82" s="2">
        <f>VLOOKUP(E82, Shipping_Zones!A:C, 3, FALSE)</f>
        <v>0</v>
      </c>
      <c r="O82" s="2">
        <f>M82 + (N82 * L82)</f>
        <v>0</v>
      </c>
      <c r="P82" s="2">
        <f>(F82 * D82) + O82</f>
        <v>0</v>
      </c>
      <c r="Q82" s="2">
        <f>K82 - P82</f>
        <v>0</v>
      </c>
    </row>
    <row r="83" spans="1:17">
      <c r="A83" t="s">
        <v>217</v>
      </c>
      <c r="B83" t="s">
        <v>509</v>
      </c>
      <c r="C83" t="s">
        <v>9</v>
      </c>
      <c r="D83">
        <v>33</v>
      </c>
      <c r="E83" t="s">
        <v>115</v>
      </c>
      <c r="F83" s="2">
        <f>VLOOKUP(C83, Products!A:F, 4, FALSE)</f>
        <v>0</v>
      </c>
      <c r="G83" s="2">
        <f>VLOOKUP(C83, Products!A:F, 5, FALSE)</f>
        <v>0</v>
      </c>
      <c r="H83" s="3">
        <f>VLOOKUP(C83, Products!A:F, 6, FALSE)</f>
        <v>0</v>
      </c>
      <c r="I83" s="2">
        <f>G83 * D83</f>
        <v>0</v>
      </c>
      <c r="J83" s="4">
        <f>VLOOKUP(D83, Volume_Discounts!A:C, 3, TRUE)</f>
        <v>0</v>
      </c>
      <c r="K83" s="2">
        <f>I83 * (1 - J83)</f>
        <v>0</v>
      </c>
      <c r="L83" s="3">
        <f>H83 * D83</f>
        <v>0</v>
      </c>
      <c r="M83" s="2">
        <f>VLOOKUP(E83, Shipping_Zones!A:C, 2, FALSE)</f>
        <v>0</v>
      </c>
      <c r="N83" s="2">
        <f>VLOOKUP(E83, Shipping_Zones!A:C, 3, FALSE)</f>
        <v>0</v>
      </c>
      <c r="O83" s="2">
        <f>M83 + (N83 * L83)</f>
        <v>0</v>
      </c>
      <c r="P83" s="2">
        <f>(F83 * D83) + O83</f>
        <v>0</v>
      </c>
      <c r="Q83" s="2">
        <f>K83 - P83</f>
        <v>0</v>
      </c>
    </row>
    <row r="84" spans="1:17">
      <c r="A84" t="s">
        <v>218</v>
      </c>
      <c r="B84" t="s">
        <v>512</v>
      </c>
      <c r="C84" t="s">
        <v>20</v>
      </c>
      <c r="D84">
        <v>67</v>
      </c>
      <c r="E84" t="s">
        <v>115</v>
      </c>
      <c r="F84" s="2">
        <f>VLOOKUP(C84, Products!A:F, 4, FALSE)</f>
        <v>0</v>
      </c>
      <c r="G84" s="2">
        <f>VLOOKUP(C84, Products!A:F, 5, FALSE)</f>
        <v>0</v>
      </c>
      <c r="H84" s="3">
        <f>VLOOKUP(C84, Products!A:F, 6, FALSE)</f>
        <v>0</v>
      </c>
      <c r="I84" s="2">
        <f>G84 * D84</f>
        <v>0</v>
      </c>
      <c r="J84" s="4">
        <f>VLOOKUP(D84, Volume_Discounts!A:C, 3, TRUE)</f>
        <v>0</v>
      </c>
      <c r="K84" s="2">
        <f>I84 * (1 - J84)</f>
        <v>0</v>
      </c>
      <c r="L84" s="3">
        <f>H84 * D84</f>
        <v>0</v>
      </c>
      <c r="M84" s="2">
        <f>VLOOKUP(E84, Shipping_Zones!A:C, 2, FALSE)</f>
        <v>0</v>
      </c>
      <c r="N84" s="2">
        <f>VLOOKUP(E84, Shipping_Zones!A:C, 3, FALSE)</f>
        <v>0</v>
      </c>
      <c r="O84" s="2">
        <f>M84 + (N84 * L84)</f>
        <v>0</v>
      </c>
      <c r="P84" s="2">
        <f>(F84 * D84) + O84</f>
        <v>0</v>
      </c>
      <c r="Q84" s="2">
        <f>K84 - P84</f>
        <v>0</v>
      </c>
    </row>
    <row r="85" spans="1:17">
      <c r="A85" t="s">
        <v>219</v>
      </c>
      <c r="B85" t="s">
        <v>513</v>
      </c>
      <c r="C85" t="s">
        <v>50</v>
      </c>
      <c r="D85">
        <v>77</v>
      </c>
      <c r="E85" t="s">
        <v>114</v>
      </c>
      <c r="F85" s="2">
        <f>VLOOKUP(C85, Products!A:F, 4, FALSE)</f>
        <v>0</v>
      </c>
      <c r="G85" s="2">
        <f>VLOOKUP(C85, Products!A:F, 5, FALSE)</f>
        <v>0</v>
      </c>
      <c r="H85" s="3">
        <f>VLOOKUP(C85, Products!A:F, 6, FALSE)</f>
        <v>0</v>
      </c>
      <c r="I85" s="2">
        <f>G85 * D85</f>
        <v>0</v>
      </c>
      <c r="J85" s="4">
        <f>VLOOKUP(D85, Volume_Discounts!A:C, 3, TRUE)</f>
        <v>0</v>
      </c>
      <c r="K85" s="2">
        <f>I85 * (1 - J85)</f>
        <v>0</v>
      </c>
      <c r="L85" s="3">
        <f>H85 * D85</f>
        <v>0</v>
      </c>
      <c r="M85" s="2">
        <f>VLOOKUP(E85, Shipping_Zones!A:C, 2, FALSE)</f>
        <v>0</v>
      </c>
      <c r="N85" s="2">
        <f>VLOOKUP(E85, Shipping_Zones!A:C, 3, FALSE)</f>
        <v>0</v>
      </c>
      <c r="O85" s="2">
        <f>M85 + (N85 * L85)</f>
        <v>0</v>
      </c>
      <c r="P85" s="2">
        <f>(F85 * D85) + O85</f>
        <v>0</v>
      </c>
      <c r="Q85" s="2">
        <f>K85 - P85</f>
        <v>0</v>
      </c>
    </row>
    <row r="86" spans="1:17">
      <c r="A86" t="s">
        <v>220</v>
      </c>
      <c r="B86" t="s">
        <v>514</v>
      </c>
      <c r="C86" t="s">
        <v>43</v>
      </c>
      <c r="D86">
        <v>120</v>
      </c>
      <c r="E86" t="s">
        <v>115</v>
      </c>
      <c r="F86" s="2">
        <f>VLOOKUP(C86, Products!A:F, 4, FALSE)</f>
        <v>0</v>
      </c>
      <c r="G86" s="2">
        <f>VLOOKUP(C86, Products!A:F, 5, FALSE)</f>
        <v>0</v>
      </c>
      <c r="H86" s="3">
        <f>VLOOKUP(C86, Products!A:F, 6, FALSE)</f>
        <v>0</v>
      </c>
      <c r="I86" s="2">
        <f>G86 * D86</f>
        <v>0</v>
      </c>
      <c r="J86" s="4">
        <f>VLOOKUP(D86, Volume_Discounts!A:C, 3, TRUE)</f>
        <v>0</v>
      </c>
      <c r="K86" s="2">
        <f>I86 * (1 - J86)</f>
        <v>0</v>
      </c>
      <c r="L86" s="3">
        <f>H86 * D86</f>
        <v>0</v>
      </c>
      <c r="M86" s="2">
        <f>VLOOKUP(E86, Shipping_Zones!A:C, 2, FALSE)</f>
        <v>0</v>
      </c>
      <c r="N86" s="2">
        <f>VLOOKUP(E86, Shipping_Zones!A:C, 3, FALSE)</f>
        <v>0</v>
      </c>
      <c r="O86" s="2">
        <f>M86 + (N86 * L86)</f>
        <v>0</v>
      </c>
      <c r="P86" s="2">
        <f>(F86 * D86) + O86</f>
        <v>0</v>
      </c>
      <c r="Q86" s="2">
        <f>K86 - P86</f>
        <v>0</v>
      </c>
    </row>
    <row r="87" spans="1:17">
      <c r="A87" t="s">
        <v>221</v>
      </c>
      <c r="B87" t="s">
        <v>515</v>
      </c>
      <c r="C87" t="s">
        <v>35</v>
      </c>
      <c r="D87">
        <v>30</v>
      </c>
      <c r="E87" t="s">
        <v>114</v>
      </c>
      <c r="F87" s="2">
        <f>VLOOKUP(C87, Products!A:F, 4, FALSE)</f>
        <v>0</v>
      </c>
      <c r="G87" s="2">
        <f>VLOOKUP(C87, Products!A:F, 5, FALSE)</f>
        <v>0</v>
      </c>
      <c r="H87" s="3">
        <f>VLOOKUP(C87, Products!A:F, 6, FALSE)</f>
        <v>0</v>
      </c>
      <c r="I87" s="2">
        <f>G87 * D87</f>
        <v>0</v>
      </c>
      <c r="J87" s="4">
        <f>VLOOKUP(D87, Volume_Discounts!A:C, 3, TRUE)</f>
        <v>0</v>
      </c>
      <c r="K87" s="2">
        <f>I87 * (1 - J87)</f>
        <v>0</v>
      </c>
      <c r="L87" s="3">
        <f>H87 * D87</f>
        <v>0</v>
      </c>
      <c r="M87" s="2">
        <f>VLOOKUP(E87, Shipping_Zones!A:C, 2, FALSE)</f>
        <v>0</v>
      </c>
      <c r="N87" s="2">
        <f>VLOOKUP(E87, Shipping_Zones!A:C, 3, FALSE)</f>
        <v>0</v>
      </c>
      <c r="O87" s="2">
        <f>M87 + (N87 * L87)</f>
        <v>0</v>
      </c>
      <c r="P87" s="2">
        <f>(F87 * D87) + O87</f>
        <v>0</v>
      </c>
      <c r="Q87" s="2">
        <f>K87 - P87</f>
        <v>0</v>
      </c>
    </row>
    <row r="88" spans="1:17">
      <c r="A88" t="s">
        <v>222</v>
      </c>
      <c r="B88" t="s">
        <v>516</v>
      </c>
      <c r="C88" t="s">
        <v>20</v>
      </c>
      <c r="D88">
        <v>108</v>
      </c>
      <c r="E88" t="s">
        <v>117</v>
      </c>
      <c r="F88" s="2">
        <f>VLOOKUP(C88, Products!A:F, 4, FALSE)</f>
        <v>0</v>
      </c>
      <c r="G88" s="2">
        <f>VLOOKUP(C88, Products!A:F, 5, FALSE)</f>
        <v>0</v>
      </c>
      <c r="H88" s="3">
        <f>VLOOKUP(C88, Products!A:F, 6, FALSE)</f>
        <v>0</v>
      </c>
      <c r="I88" s="2">
        <f>G88 * D88</f>
        <v>0</v>
      </c>
      <c r="J88" s="4">
        <f>VLOOKUP(D88, Volume_Discounts!A:C, 3, TRUE)</f>
        <v>0</v>
      </c>
      <c r="K88" s="2">
        <f>I88 * (1 - J88)</f>
        <v>0</v>
      </c>
      <c r="L88" s="3">
        <f>H88 * D88</f>
        <v>0</v>
      </c>
      <c r="M88" s="2">
        <f>VLOOKUP(E88, Shipping_Zones!A:C, 2, FALSE)</f>
        <v>0</v>
      </c>
      <c r="N88" s="2">
        <f>VLOOKUP(E88, Shipping_Zones!A:C, 3, FALSE)</f>
        <v>0</v>
      </c>
      <c r="O88" s="2">
        <f>M88 + (N88 * L88)</f>
        <v>0</v>
      </c>
      <c r="P88" s="2">
        <f>(F88 * D88) + O88</f>
        <v>0</v>
      </c>
      <c r="Q88" s="2">
        <f>K88 - P88</f>
        <v>0</v>
      </c>
    </row>
    <row r="89" spans="1:17">
      <c r="A89" t="s">
        <v>223</v>
      </c>
      <c r="B89" t="s">
        <v>517</v>
      </c>
      <c r="C89" t="s">
        <v>40</v>
      </c>
      <c r="D89">
        <v>47</v>
      </c>
      <c r="E89" t="s">
        <v>115</v>
      </c>
      <c r="F89" s="2">
        <f>VLOOKUP(C89, Products!A:F, 4, FALSE)</f>
        <v>0</v>
      </c>
      <c r="G89" s="2">
        <f>VLOOKUP(C89, Products!A:F, 5, FALSE)</f>
        <v>0</v>
      </c>
      <c r="H89" s="3">
        <f>VLOOKUP(C89, Products!A:F, 6, FALSE)</f>
        <v>0</v>
      </c>
      <c r="I89" s="2">
        <f>G89 * D89</f>
        <v>0</v>
      </c>
      <c r="J89" s="4">
        <f>VLOOKUP(D89, Volume_Discounts!A:C, 3, TRUE)</f>
        <v>0</v>
      </c>
      <c r="K89" s="2">
        <f>I89 * (1 - J89)</f>
        <v>0</v>
      </c>
      <c r="L89" s="3">
        <f>H89 * D89</f>
        <v>0</v>
      </c>
      <c r="M89" s="2">
        <f>VLOOKUP(E89, Shipping_Zones!A:C, 2, FALSE)</f>
        <v>0</v>
      </c>
      <c r="N89" s="2">
        <f>VLOOKUP(E89, Shipping_Zones!A:C, 3, FALSE)</f>
        <v>0</v>
      </c>
      <c r="O89" s="2">
        <f>M89 + (N89 * L89)</f>
        <v>0</v>
      </c>
      <c r="P89" s="2">
        <f>(F89 * D89) + O89</f>
        <v>0</v>
      </c>
      <c r="Q89" s="2">
        <f>K89 - P89</f>
        <v>0</v>
      </c>
    </row>
    <row r="90" spans="1:17">
      <c r="A90" t="s">
        <v>224</v>
      </c>
      <c r="B90" t="s">
        <v>518</v>
      </c>
      <c r="C90" t="s">
        <v>37</v>
      </c>
      <c r="D90">
        <v>106</v>
      </c>
      <c r="E90" t="s">
        <v>116</v>
      </c>
      <c r="F90" s="2">
        <f>VLOOKUP(C90, Products!A:F, 4, FALSE)</f>
        <v>0</v>
      </c>
      <c r="G90" s="2">
        <f>VLOOKUP(C90, Products!A:F, 5, FALSE)</f>
        <v>0</v>
      </c>
      <c r="H90" s="3">
        <f>VLOOKUP(C90, Products!A:F, 6, FALSE)</f>
        <v>0</v>
      </c>
      <c r="I90" s="2">
        <f>G90 * D90</f>
        <v>0</v>
      </c>
      <c r="J90" s="4">
        <f>VLOOKUP(D90, Volume_Discounts!A:C, 3, TRUE)</f>
        <v>0</v>
      </c>
      <c r="K90" s="2">
        <f>I90 * (1 - J90)</f>
        <v>0</v>
      </c>
      <c r="L90" s="3">
        <f>H90 * D90</f>
        <v>0</v>
      </c>
      <c r="M90" s="2">
        <f>VLOOKUP(E90, Shipping_Zones!A:C, 2, FALSE)</f>
        <v>0</v>
      </c>
      <c r="N90" s="2">
        <f>VLOOKUP(E90, Shipping_Zones!A:C, 3, FALSE)</f>
        <v>0</v>
      </c>
      <c r="O90" s="2">
        <f>M90 + (N90 * L90)</f>
        <v>0</v>
      </c>
      <c r="P90" s="2">
        <f>(F90 * D90) + O90</f>
        <v>0</v>
      </c>
      <c r="Q90" s="2">
        <f>K90 - P90</f>
        <v>0</v>
      </c>
    </row>
    <row r="91" spans="1:17">
      <c r="A91" t="s">
        <v>225</v>
      </c>
      <c r="B91" t="s">
        <v>459</v>
      </c>
      <c r="C91" t="s">
        <v>26</v>
      </c>
      <c r="D91">
        <v>95</v>
      </c>
      <c r="E91" t="s">
        <v>116</v>
      </c>
      <c r="F91" s="2">
        <f>VLOOKUP(C91, Products!A:F, 4, FALSE)</f>
        <v>0</v>
      </c>
      <c r="G91" s="2">
        <f>VLOOKUP(C91, Products!A:F, 5, FALSE)</f>
        <v>0</v>
      </c>
      <c r="H91" s="3">
        <f>VLOOKUP(C91, Products!A:F, 6, FALSE)</f>
        <v>0</v>
      </c>
      <c r="I91" s="2">
        <f>G91 * D91</f>
        <v>0</v>
      </c>
      <c r="J91" s="4">
        <f>VLOOKUP(D91, Volume_Discounts!A:C, 3, TRUE)</f>
        <v>0</v>
      </c>
      <c r="K91" s="2">
        <f>I91 * (1 - J91)</f>
        <v>0</v>
      </c>
      <c r="L91" s="3">
        <f>H91 * D91</f>
        <v>0</v>
      </c>
      <c r="M91" s="2">
        <f>VLOOKUP(E91, Shipping_Zones!A:C, 2, FALSE)</f>
        <v>0</v>
      </c>
      <c r="N91" s="2">
        <f>VLOOKUP(E91, Shipping_Zones!A:C, 3, FALSE)</f>
        <v>0</v>
      </c>
      <c r="O91" s="2">
        <f>M91 + (N91 * L91)</f>
        <v>0</v>
      </c>
      <c r="P91" s="2">
        <f>(F91 * D91) + O91</f>
        <v>0</v>
      </c>
      <c r="Q91" s="2">
        <f>K91 - P91</f>
        <v>0</v>
      </c>
    </row>
    <row r="92" spans="1:17">
      <c r="A92" t="s">
        <v>226</v>
      </c>
      <c r="B92" t="s">
        <v>519</v>
      </c>
      <c r="C92" t="s">
        <v>23</v>
      </c>
      <c r="D92">
        <v>70</v>
      </c>
      <c r="E92" t="s">
        <v>117</v>
      </c>
      <c r="F92" s="2">
        <f>VLOOKUP(C92, Products!A:F, 4, FALSE)</f>
        <v>0</v>
      </c>
      <c r="G92" s="2">
        <f>VLOOKUP(C92, Products!A:F, 5, FALSE)</f>
        <v>0</v>
      </c>
      <c r="H92" s="3">
        <f>VLOOKUP(C92, Products!A:F, 6, FALSE)</f>
        <v>0</v>
      </c>
      <c r="I92" s="2">
        <f>G92 * D92</f>
        <v>0</v>
      </c>
      <c r="J92" s="4">
        <f>VLOOKUP(D92, Volume_Discounts!A:C, 3, TRUE)</f>
        <v>0</v>
      </c>
      <c r="K92" s="2">
        <f>I92 * (1 - J92)</f>
        <v>0</v>
      </c>
      <c r="L92" s="3">
        <f>H92 * D92</f>
        <v>0</v>
      </c>
      <c r="M92" s="2">
        <f>VLOOKUP(E92, Shipping_Zones!A:C, 2, FALSE)</f>
        <v>0</v>
      </c>
      <c r="N92" s="2">
        <f>VLOOKUP(E92, Shipping_Zones!A:C, 3, FALSE)</f>
        <v>0</v>
      </c>
      <c r="O92" s="2">
        <f>M92 + (N92 * L92)</f>
        <v>0</v>
      </c>
      <c r="P92" s="2">
        <f>(F92 * D92) + O92</f>
        <v>0</v>
      </c>
      <c r="Q92" s="2">
        <f>K92 - P92</f>
        <v>0</v>
      </c>
    </row>
    <row r="93" spans="1:17">
      <c r="A93" t="s">
        <v>227</v>
      </c>
      <c r="B93" t="s">
        <v>520</v>
      </c>
      <c r="C93" t="s">
        <v>40</v>
      </c>
      <c r="D93">
        <v>106</v>
      </c>
      <c r="E93" t="s">
        <v>116</v>
      </c>
      <c r="F93" s="2">
        <f>VLOOKUP(C93, Products!A:F, 4, FALSE)</f>
        <v>0</v>
      </c>
      <c r="G93" s="2">
        <f>VLOOKUP(C93, Products!A:F, 5, FALSE)</f>
        <v>0</v>
      </c>
      <c r="H93" s="3">
        <f>VLOOKUP(C93, Products!A:F, 6, FALSE)</f>
        <v>0</v>
      </c>
      <c r="I93" s="2">
        <f>G93 * D93</f>
        <v>0</v>
      </c>
      <c r="J93" s="4">
        <f>VLOOKUP(D93, Volume_Discounts!A:C, 3, TRUE)</f>
        <v>0</v>
      </c>
      <c r="K93" s="2">
        <f>I93 * (1 - J93)</f>
        <v>0</v>
      </c>
      <c r="L93" s="3">
        <f>H93 * D93</f>
        <v>0</v>
      </c>
      <c r="M93" s="2">
        <f>VLOOKUP(E93, Shipping_Zones!A:C, 2, FALSE)</f>
        <v>0</v>
      </c>
      <c r="N93" s="2">
        <f>VLOOKUP(E93, Shipping_Zones!A:C, 3, FALSE)</f>
        <v>0</v>
      </c>
      <c r="O93" s="2">
        <f>M93 + (N93 * L93)</f>
        <v>0</v>
      </c>
      <c r="P93" s="2">
        <f>(F93 * D93) + O93</f>
        <v>0</v>
      </c>
      <c r="Q93" s="2">
        <f>K93 - P93</f>
        <v>0</v>
      </c>
    </row>
    <row r="94" spans="1:17">
      <c r="A94" t="s">
        <v>228</v>
      </c>
      <c r="B94" t="s">
        <v>445</v>
      </c>
      <c r="C94" t="s">
        <v>14</v>
      </c>
      <c r="D94">
        <v>70</v>
      </c>
      <c r="E94" t="s">
        <v>114</v>
      </c>
      <c r="F94" s="2">
        <f>VLOOKUP(C94, Products!A:F, 4, FALSE)</f>
        <v>0</v>
      </c>
      <c r="G94" s="2">
        <f>VLOOKUP(C94, Products!A:F, 5, FALSE)</f>
        <v>0</v>
      </c>
      <c r="H94" s="3">
        <f>VLOOKUP(C94, Products!A:F, 6, FALSE)</f>
        <v>0</v>
      </c>
      <c r="I94" s="2">
        <f>G94 * D94</f>
        <v>0</v>
      </c>
      <c r="J94" s="4">
        <f>VLOOKUP(D94, Volume_Discounts!A:C, 3, TRUE)</f>
        <v>0</v>
      </c>
      <c r="K94" s="2">
        <f>I94 * (1 - J94)</f>
        <v>0</v>
      </c>
      <c r="L94" s="3">
        <f>H94 * D94</f>
        <v>0</v>
      </c>
      <c r="M94" s="2">
        <f>VLOOKUP(E94, Shipping_Zones!A:C, 2, FALSE)</f>
        <v>0</v>
      </c>
      <c r="N94" s="2">
        <f>VLOOKUP(E94, Shipping_Zones!A:C, 3, FALSE)</f>
        <v>0</v>
      </c>
      <c r="O94" s="2">
        <f>M94 + (N94 * L94)</f>
        <v>0</v>
      </c>
      <c r="P94" s="2">
        <f>(F94 * D94) + O94</f>
        <v>0</v>
      </c>
      <c r="Q94" s="2">
        <f>K94 - P94</f>
        <v>0</v>
      </c>
    </row>
    <row r="95" spans="1:17">
      <c r="A95" t="s">
        <v>229</v>
      </c>
      <c r="B95" t="s">
        <v>521</v>
      </c>
      <c r="C95" t="s">
        <v>44</v>
      </c>
      <c r="D95">
        <v>54</v>
      </c>
      <c r="E95" t="s">
        <v>114</v>
      </c>
      <c r="F95" s="2">
        <f>VLOOKUP(C95, Products!A:F, 4, FALSE)</f>
        <v>0</v>
      </c>
      <c r="G95" s="2">
        <f>VLOOKUP(C95, Products!A:F, 5, FALSE)</f>
        <v>0</v>
      </c>
      <c r="H95" s="3">
        <f>VLOOKUP(C95, Products!A:F, 6, FALSE)</f>
        <v>0</v>
      </c>
      <c r="I95" s="2">
        <f>G95 * D95</f>
        <v>0</v>
      </c>
      <c r="J95" s="4">
        <f>VLOOKUP(D95, Volume_Discounts!A:C, 3, TRUE)</f>
        <v>0</v>
      </c>
      <c r="K95" s="2">
        <f>I95 * (1 - J95)</f>
        <v>0</v>
      </c>
      <c r="L95" s="3">
        <f>H95 * D95</f>
        <v>0</v>
      </c>
      <c r="M95" s="2">
        <f>VLOOKUP(E95, Shipping_Zones!A:C, 2, FALSE)</f>
        <v>0</v>
      </c>
      <c r="N95" s="2">
        <f>VLOOKUP(E95, Shipping_Zones!A:C, 3, FALSE)</f>
        <v>0</v>
      </c>
      <c r="O95" s="2">
        <f>M95 + (N95 * L95)</f>
        <v>0</v>
      </c>
      <c r="P95" s="2">
        <f>(F95 * D95) + O95</f>
        <v>0</v>
      </c>
      <c r="Q95" s="2">
        <f>K95 - P95</f>
        <v>0</v>
      </c>
    </row>
    <row r="96" spans="1:17">
      <c r="A96" t="s">
        <v>230</v>
      </c>
      <c r="B96" t="s">
        <v>522</v>
      </c>
      <c r="C96" t="s">
        <v>30</v>
      </c>
      <c r="D96">
        <v>66</v>
      </c>
      <c r="E96" t="s">
        <v>117</v>
      </c>
      <c r="F96" s="2">
        <f>VLOOKUP(C96, Products!A:F, 4, FALSE)</f>
        <v>0</v>
      </c>
      <c r="G96" s="2">
        <f>VLOOKUP(C96, Products!A:F, 5, FALSE)</f>
        <v>0</v>
      </c>
      <c r="H96" s="3">
        <f>VLOOKUP(C96, Products!A:F, 6, FALSE)</f>
        <v>0</v>
      </c>
      <c r="I96" s="2">
        <f>G96 * D96</f>
        <v>0</v>
      </c>
      <c r="J96" s="4">
        <f>VLOOKUP(D96, Volume_Discounts!A:C, 3, TRUE)</f>
        <v>0</v>
      </c>
      <c r="K96" s="2">
        <f>I96 * (1 - J96)</f>
        <v>0</v>
      </c>
      <c r="L96" s="3">
        <f>H96 * D96</f>
        <v>0</v>
      </c>
      <c r="M96" s="2">
        <f>VLOOKUP(E96, Shipping_Zones!A:C, 2, FALSE)</f>
        <v>0</v>
      </c>
      <c r="N96" s="2">
        <f>VLOOKUP(E96, Shipping_Zones!A:C, 3, FALSE)</f>
        <v>0</v>
      </c>
      <c r="O96" s="2">
        <f>M96 + (N96 * L96)</f>
        <v>0</v>
      </c>
      <c r="P96" s="2">
        <f>(F96 * D96) + O96</f>
        <v>0</v>
      </c>
      <c r="Q96" s="2">
        <f>K96 - P96</f>
        <v>0</v>
      </c>
    </row>
    <row r="97" spans="1:17">
      <c r="A97" t="s">
        <v>231</v>
      </c>
      <c r="B97" t="s">
        <v>523</v>
      </c>
      <c r="C97" t="s">
        <v>15</v>
      </c>
      <c r="D97">
        <v>58</v>
      </c>
      <c r="E97" t="s">
        <v>115</v>
      </c>
      <c r="F97" s="2">
        <f>VLOOKUP(C97, Products!A:F, 4, FALSE)</f>
        <v>0</v>
      </c>
      <c r="G97" s="2">
        <f>VLOOKUP(C97, Products!A:F, 5, FALSE)</f>
        <v>0</v>
      </c>
      <c r="H97" s="3">
        <f>VLOOKUP(C97, Products!A:F, 6, FALSE)</f>
        <v>0</v>
      </c>
      <c r="I97" s="2">
        <f>G97 * D97</f>
        <v>0</v>
      </c>
      <c r="J97" s="4">
        <f>VLOOKUP(D97, Volume_Discounts!A:C, 3, TRUE)</f>
        <v>0</v>
      </c>
      <c r="K97" s="2">
        <f>I97 * (1 - J97)</f>
        <v>0</v>
      </c>
      <c r="L97" s="3">
        <f>H97 * D97</f>
        <v>0</v>
      </c>
      <c r="M97" s="2">
        <f>VLOOKUP(E97, Shipping_Zones!A:C, 2, FALSE)</f>
        <v>0</v>
      </c>
      <c r="N97" s="2">
        <f>VLOOKUP(E97, Shipping_Zones!A:C, 3, FALSE)</f>
        <v>0</v>
      </c>
      <c r="O97" s="2">
        <f>M97 + (N97 * L97)</f>
        <v>0</v>
      </c>
      <c r="P97" s="2">
        <f>(F97 * D97) + O97</f>
        <v>0</v>
      </c>
      <c r="Q97" s="2">
        <f>K97 - P97</f>
        <v>0</v>
      </c>
    </row>
    <row r="98" spans="1:17">
      <c r="A98" t="s">
        <v>232</v>
      </c>
      <c r="B98" t="s">
        <v>492</v>
      </c>
      <c r="C98" t="s">
        <v>39</v>
      </c>
      <c r="D98">
        <v>112</v>
      </c>
      <c r="E98" t="s">
        <v>115</v>
      </c>
      <c r="F98" s="2">
        <f>VLOOKUP(C98, Products!A:F, 4, FALSE)</f>
        <v>0</v>
      </c>
      <c r="G98" s="2">
        <f>VLOOKUP(C98, Products!A:F, 5, FALSE)</f>
        <v>0</v>
      </c>
      <c r="H98" s="3">
        <f>VLOOKUP(C98, Products!A:F, 6, FALSE)</f>
        <v>0</v>
      </c>
      <c r="I98" s="2">
        <f>G98 * D98</f>
        <v>0</v>
      </c>
      <c r="J98" s="4">
        <f>VLOOKUP(D98, Volume_Discounts!A:C, 3, TRUE)</f>
        <v>0</v>
      </c>
      <c r="K98" s="2">
        <f>I98 * (1 - J98)</f>
        <v>0</v>
      </c>
      <c r="L98" s="3">
        <f>H98 * D98</f>
        <v>0</v>
      </c>
      <c r="M98" s="2">
        <f>VLOOKUP(E98, Shipping_Zones!A:C, 2, FALSE)</f>
        <v>0</v>
      </c>
      <c r="N98" s="2">
        <f>VLOOKUP(E98, Shipping_Zones!A:C, 3, FALSE)</f>
        <v>0</v>
      </c>
      <c r="O98" s="2">
        <f>M98 + (N98 * L98)</f>
        <v>0</v>
      </c>
      <c r="P98" s="2">
        <f>(F98 * D98) + O98</f>
        <v>0</v>
      </c>
      <c r="Q98" s="2">
        <f>K98 - P98</f>
        <v>0</v>
      </c>
    </row>
    <row r="99" spans="1:17">
      <c r="A99" t="s">
        <v>233</v>
      </c>
      <c r="B99" t="s">
        <v>524</v>
      </c>
      <c r="C99" t="s">
        <v>17</v>
      </c>
      <c r="D99">
        <v>119</v>
      </c>
      <c r="E99" t="s">
        <v>117</v>
      </c>
      <c r="F99" s="2">
        <f>VLOOKUP(C99, Products!A:F, 4, FALSE)</f>
        <v>0</v>
      </c>
      <c r="G99" s="2">
        <f>VLOOKUP(C99, Products!A:F, 5, FALSE)</f>
        <v>0</v>
      </c>
      <c r="H99" s="3">
        <f>VLOOKUP(C99, Products!A:F, 6, FALSE)</f>
        <v>0</v>
      </c>
      <c r="I99" s="2">
        <f>G99 * D99</f>
        <v>0</v>
      </c>
      <c r="J99" s="4">
        <f>VLOOKUP(D99, Volume_Discounts!A:C, 3, TRUE)</f>
        <v>0</v>
      </c>
      <c r="K99" s="2">
        <f>I99 * (1 - J99)</f>
        <v>0</v>
      </c>
      <c r="L99" s="3">
        <f>H99 * D99</f>
        <v>0</v>
      </c>
      <c r="M99" s="2">
        <f>VLOOKUP(E99, Shipping_Zones!A:C, 2, FALSE)</f>
        <v>0</v>
      </c>
      <c r="N99" s="2">
        <f>VLOOKUP(E99, Shipping_Zones!A:C, 3, FALSE)</f>
        <v>0</v>
      </c>
      <c r="O99" s="2">
        <f>M99 + (N99 * L99)</f>
        <v>0</v>
      </c>
      <c r="P99" s="2">
        <f>(F99 * D99) + O99</f>
        <v>0</v>
      </c>
      <c r="Q99" s="2">
        <f>K99 - P99</f>
        <v>0</v>
      </c>
    </row>
    <row r="100" spans="1:17">
      <c r="A100" t="s">
        <v>234</v>
      </c>
      <c r="B100" t="s">
        <v>525</v>
      </c>
      <c r="C100" t="s">
        <v>17</v>
      </c>
      <c r="D100">
        <v>55</v>
      </c>
      <c r="E100" t="s">
        <v>114</v>
      </c>
      <c r="F100" s="2">
        <f>VLOOKUP(C100, Products!A:F, 4, FALSE)</f>
        <v>0</v>
      </c>
      <c r="G100" s="2">
        <f>VLOOKUP(C100, Products!A:F, 5, FALSE)</f>
        <v>0</v>
      </c>
      <c r="H100" s="3">
        <f>VLOOKUP(C100, Products!A:F, 6, FALSE)</f>
        <v>0</v>
      </c>
      <c r="I100" s="2">
        <f>G100 * D100</f>
        <v>0</v>
      </c>
      <c r="J100" s="4">
        <f>VLOOKUP(D100, Volume_Discounts!A:C, 3, TRUE)</f>
        <v>0</v>
      </c>
      <c r="K100" s="2">
        <f>I100 * (1 - J100)</f>
        <v>0</v>
      </c>
      <c r="L100" s="3">
        <f>H100 * D100</f>
        <v>0</v>
      </c>
      <c r="M100" s="2">
        <f>VLOOKUP(E100, Shipping_Zones!A:C, 2, FALSE)</f>
        <v>0</v>
      </c>
      <c r="N100" s="2">
        <f>VLOOKUP(E100, Shipping_Zones!A:C, 3, FALSE)</f>
        <v>0</v>
      </c>
      <c r="O100" s="2">
        <f>M100 + (N100 * L100)</f>
        <v>0</v>
      </c>
      <c r="P100" s="2">
        <f>(F100 * D100) + O100</f>
        <v>0</v>
      </c>
      <c r="Q100" s="2">
        <f>K100 - P100</f>
        <v>0</v>
      </c>
    </row>
    <row r="101" spans="1:17">
      <c r="A101" t="s">
        <v>235</v>
      </c>
      <c r="B101" t="s">
        <v>526</v>
      </c>
      <c r="C101" t="s">
        <v>21</v>
      </c>
      <c r="D101">
        <v>114</v>
      </c>
      <c r="E101" t="s">
        <v>117</v>
      </c>
      <c r="F101" s="2">
        <f>VLOOKUP(C101, Products!A:F, 4, FALSE)</f>
        <v>0</v>
      </c>
      <c r="G101" s="2">
        <f>VLOOKUP(C101, Products!A:F, 5, FALSE)</f>
        <v>0</v>
      </c>
      <c r="H101" s="3">
        <f>VLOOKUP(C101, Products!A:F, 6, FALSE)</f>
        <v>0</v>
      </c>
      <c r="I101" s="2">
        <f>G101 * D101</f>
        <v>0</v>
      </c>
      <c r="J101" s="4">
        <f>VLOOKUP(D101, Volume_Discounts!A:C, 3, TRUE)</f>
        <v>0</v>
      </c>
      <c r="K101" s="2">
        <f>I101 * (1 - J101)</f>
        <v>0</v>
      </c>
      <c r="L101" s="3">
        <f>H101 * D101</f>
        <v>0</v>
      </c>
      <c r="M101" s="2">
        <f>VLOOKUP(E101, Shipping_Zones!A:C, 2, FALSE)</f>
        <v>0</v>
      </c>
      <c r="N101" s="2">
        <f>VLOOKUP(E101, Shipping_Zones!A:C, 3, FALSE)</f>
        <v>0</v>
      </c>
      <c r="O101" s="2">
        <f>M101 + (N101 * L101)</f>
        <v>0</v>
      </c>
      <c r="P101" s="2">
        <f>(F101 * D101) + O101</f>
        <v>0</v>
      </c>
      <c r="Q101" s="2">
        <f>K101 - P101</f>
        <v>0</v>
      </c>
    </row>
    <row r="102" spans="1:17">
      <c r="A102" t="s">
        <v>236</v>
      </c>
      <c r="B102" t="s">
        <v>527</v>
      </c>
      <c r="C102" t="s">
        <v>40</v>
      </c>
      <c r="D102">
        <v>109</v>
      </c>
      <c r="E102" t="s">
        <v>117</v>
      </c>
      <c r="F102" s="2">
        <f>VLOOKUP(C102, Products!A:F, 4, FALSE)</f>
        <v>0</v>
      </c>
      <c r="G102" s="2">
        <f>VLOOKUP(C102, Products!A:F, 5, FALSE)</f>
        <v>0</v>
      </c>
      <c r="H102" s="3">
        <f>VLOOKUP(C102, Products!A:F, 6, FALSE)</f>
        <v>0</v>
      </c>
      <c r="I102" s="2">
        <f>G102 * D102</f>
        <v>0</v>
      </c>
      <c r="J102" s="4">
        <f>VLOOKUP(D102, Volume_Discounts!A:C, 3, TRUE)</f>
        <v>0</v>
      </c>
      <c r="K102" s="2">
        <f>I102 * (1 - J102)</f>
        <v>0</v>
      </c>
      <c r="L102" s="3">
        <f>H102 * D102</f>
        <v>0</v>
      </c>
      <c r="M102" s="2">
        <f>VLOOKUP(E102, Shipping_Zones!A:C, 2, FALSE)</f>
        <v>0</v>
      </c>
      <c r="N102" s="2">
        <f>VLOOKUP(E102, Shipping_Zones!A:C, 3, FALSE)</f>
        <v>0</v>
      </c>
      <c r="O102" s="2">
        <f>M102 + (N102 * L102)</f>
        <v>0</v>
      </c>
      <c r="P102" s="2">
        <f>(F102 * D102) + O102</f>
        <v>0</v>
      </c>
      <c r="Q102" s="2">
        <f>K102 - P102</f>
        <v>0</v>
      </c>
    </row>
    <row r="103" spans="1:17">
      <c r="A103" t="s">
        <v>237</v>
      </c>
      <c r="B103" t="s">
        <v>528</v>
      </c>
      <c r="C103" t="s">
        <v>29</v>
      </c>
      <c r="D103">
        <v>77</v>
      </c>
      <c r="E103" t="s">
        <v>114</v>
      </c>
      <c r="F103" s="2">
        <f>VLOOKUP(C103, Products!A:F, 4, FALSE)</f>
        <v>0</v>
      </c>
      <c r="G103" s="2">
        <f>VLOOKUP(C103, Products!A:F, 5, FALSE)</f>
        <v>0</v>
      </c>
      <c r="H103" s="3">
        <f>VLOOKUP(C103, Products!A:F, 6, FALSE)</f>
        <v>0</v>
      </c>
      <c r="I103" s="2">
        <f>G103 * D103</f>
        <v>0</v>
      </c>
      <c r="J103" s="4">
        <f>VLOOKUP(D103, Volume_Discounts!A:C, 3, TRUE)</f>
        <v>0</v>
      </c>
      <c r="K103" s="2">
        <f>I103 * (1 - J103)</f>
        <v>0</v>
      </c>
      <c r="L103" s="3">
        <f>H103 * D103</f>
        <v>0</v>
      </c>
      <c r="M103" s="2">
        <f>VLOOKUP(E103, Shipping_Zones!A:C, 2, FALSE)</f>
        <v>0</v>
      </c>
      <c r="N103" s="2">
        <f>VLOOKUP(E103, Shipping_Zones!A:C, 3, FALSE)</f>
        <v>0</v>
      </c>
      <c r="O103" s="2">
        <f>M103 + (N103 * L103)</f>
        <v>0</v>
      </c>
      <c r="P103" s="2">
        <f>(F103 * D103) + O103</f>
        <v>0</v>
      </c>
      <c r="Q103" s="2">
        <f>K103 - P103</f>
        <v>0</v>
      </c>
    </row>
    <row r="104" spans="1:17">
      <c r="A104" t="s">
        <v>238</v>
      </c>
      <c r="B104" t="s">
        <v>529</v>
      </c>
      <c r="C104" t="s">
        <v>28</v>
      </c>
      <c r="D104">
        <v>68</v>
      </c>
      <c r="E104" t="s">
        <v>114</v>
      </c>
      <c r="F104" s="2">
        <f>VLOOKUP(C104, Products!A:F, 4, FALSE)</f>
        <v>0</v>
      </c>
      <c r="G104" s="2">
        <f>VLOOKUP(C104, Products!A:F, 5, FALSE)</f>
        <v>0</v>
      </c>
      <c r="H104" s="3">
        <f>VLOOKUP(C104, Products!A:F, 6, FALSE)</f>
        <v>0</v>
      </c>
      <c r="I104" s="2">
        <f>G104 * D104</f>
        <v>0</v>
      </c>
      <c r="J104" s="4">
        <f>VLOOKUP(D104, Volume_Discounts!A:C, 3, TRUE)</f>
        <v>0</v>
      </c>
      <c r="K104" s="2">
        <f>I104 * (1 - J104)</f>
        <v>0</v>
      </c>
      <c r="L104" s="3">
        <f>H104 * D104</f>
        <v>0</v>
      </c>
      <c r="M104" s="2">
        <f>VLOOKUP(E104, Shipping_Zones!A:C, 2, FALSE)</f>
        <v>0</v>
      </c>
      <c r="N104" s="2">
        <f>VLOOKUP(E104, Shipping_Zones!A:C, 3, FALSE)</f>
        <v>0</v>
      </c>
      <c r="O104" s="2">
        <f>M104 + (N104 * L104)</f>
        <v>0</v>
      </c>
      <c r="P104" s="2">
        <f>(F104 * D104) + O104</f>
        <v>0</v>
      </c>
      <c r="Q104" s="2">
        <f>K104 - P104</f>
        <v>0</v>
      </c>
    </row>
    <row r="105" spans="1:17">
      <c r="A105" t="s">
        <v>239</v>
      </c>
      <c r="B105" t="s">
        <v>530</v>
      </c>
      <c r="C105" t="s">
        <v>39</v>
      </c>
      <c r="D105">
        <v>69</v>
      </c>
      <c r="E105" t="s">
        <v>117</v>
      </c>
      <c r="F105" s="2">
        <f>VLOOKUP(C105, Products!A:F, 4, FALSE)</f>
        <v>0</v>
      </c>
      <c r="G105" s="2">
        <f>VLOOKUP(C105, Products!A:F, 5, FALSE)</f>
        <v>0</v>
      </c>
      <c r="H105" s="3">
        <f>VLOOKUP(C105, Products!A:F, 6, FALSE)</f>
        <v>0</v>
      </c>
      <c r="I105" s="2">
        <f>G105 * D105</f>
        <v>0</v>
      </c>
      <c r="J105" s="4">
        <f>VLOOKUP(D105, Volume_Discounts!A:C, 3, TRUE)</f>
        <v>0</v>
      </c>
      <c r="K105" s="2">
        <f>I105 * (1 - J105)</f>
        <v>0</v>
      </c>
      <c r="L105" s="3">
        <f>H105 * D105</f>
        <v>0</v>
      </c>
      <c r="M105" s="2">
        <f>VLOOKUP(E105, Shipping_Zones!A:C, 2, FALSE)</f>
        <v>0</v>
      </c>
      <c r="N105" s="2">
        <f>VLOOKUP(E105, Shipping_Zones!A:C, 3, FALSE)</f>
        <v>0</v>
      </c>
      <c r="O105" s="2">
        <f>M105 + (N105 * L105)</f>
        <v>0</v>
      </c>
      <c r="P105" s="2">
        <f>(F105 * D105) + O105</f>
        <v>0</v>
      </c>
      <c r="Q105" s="2">
        <f>K105 - P105</f>
        <v>0</v>
      </c>
    </row>
    <row r="106" spans="1:17">
      <c r="A106" t="s">
        <v>240</v>
      </c>
      <c r="B106" t="s">
        <v>526</v>
      </c>
      <c r="C106" t="s">
        <v>30</v>
      </c>
      <c r="D106">
        <v>11</v>
      </c>
      <c r="E106" t="s">
        <v>117</v>
      </c>
      <c r="F106" s="2">
        <f>VLOOKUP(C106, Products!A:F, 4, FALSE)</f>
        <v>0</v>
      </c>
      <c r="G106" s="2">
        <f>VLOOKUP(C106, Products!A:F, 5, FALSE)</f>
        <v>0</v>
      </c>
      <c r="H106" s="3">
        <f>VLOOKUP(C106, Products!A:F, 6, FALSE)</f>
        <v>0</v>
      </c>
      <c r="I106" s="2">
        <f>G106 * D106</f>
        <v>0</v>
      </c>
      <c r="J106" s="4">
        <f>VLOOKUP(D106, Volume_Discounts!A:C, 3, TRUE)</f>
        <v>0</v>
      </c>
      <c r="K106" s="2">
        <f>I106 * (1 - J106)</f>
        <v>0</v>
      </c>
      <c r="L106" s="3">
        <f>H106 * D106</f>
        <v>0</v>
      </c>
      <c r="M106" s="2">
        <f>VLOOKUP(E106, Shipping_Zones!A:C, 2, FALSE)</f>
        <v>0</v>
      </c>
      <c r="N106" s="2">
        <f>VLOOKUP(E106, Shipping_Zones!A:C, 3, FALSE)</f>
        <v>0</v>
      </c>
      <c r="O106" s="2">
        <f>M106 + (N106 * L106)</f>
        <v>0</v>
      </c>
      <c r="P106" s="2">
        <f>(F106 * D106) + O106</f>
        <v>0</v>
      </c>
      <c r="Q106" s="2">
        <f>K106 - P106</f>
        <v>0</v>
      </c>
    </row>
    <row r="107" spans="1:17">
      <c r="A107" t="s">
        <v>241</v>
      </c>
      <c r="B107" t="s">
        <v>488</v>
      </c>
      <c r="C107" t="s">
        <v>53</v>
      </c>
      <c r="D107">
        <v>92</v>
      </c>
      <c r="E107" t="s">
        <v>116</v>
      </c>
      <c r="F107" s="2">
        <f>VLOOKUP(C107, Products!A:F, 4, FALSE)</f>
        <v>0</v>
      </c>
      <c r="G107" s="2">
        <f>VLOOKUP(C107, Products!A:F, 5, FALSE)</f>
        <v>0</v>
      </c>
      <c r="H107" s="3">
        <f>VLOOKUP(C107, Products!A:F, 6, FALSE)</f>
        <v>0</v>
      </c>
      <c r="I107" s="2">
        <f>G107 * D107</f>
        <v>0</v>
      </c>
      <c r="J107" s="4">
        <f>VLOOKUP(D107, Volume_Discounts!A:C, 3, TRUE)</f>
        <v>0</v>
      </c>
      <c r="K107" s="2">
        <f>I107 * (1 - J107)</f>
        <v>0</v>
      </c>
      <c r="L107" s="3">
        <f>H107 * D107</f>
        <v>0</v>
      </c>
      <c r="M107" s="2">
        <f>VLOOKUP(E107, Shipping_Zones!A:C, 2, FALSE)</f>
        <v>0</v>
      </c>
      <c r="N107" s="2">
        <f>VLOOKUP(E107, Shipping_Zones!A:C, 3, FALSE)</f>
        <v>0</v>
      </c>
      <c r="O107" s="2">
        <f>M107 + (N107 * L107)</f>
        <v>0</v>
      </c>
      <c r="P107" s="2">
        <f>(F107 * D107) + O107</f>
        <v>0</v>
      </c>
      <c r="Q107" s="2">
        <f>K107 - P107</f>
        <v>0</v>
      </c>
    </row>
    <row r="108" spans="1:17">
      <c r="A108" t="s">
        <v>242</v>
      </c>
      <c r="B108" t="s">
        <v>531</v>
      </c>
      <c r="C108" t="s">
        <v>33</v>
      </c>
      <c r="D108">
        <v>113</v>
      </c>
      <c r="E108" t="s">
        <v>116</v>
      </c>
      <c r="F108" s="2">
        <f>VLOOKUP(C108, Products!A:F, 4, FALSE)</f>
        <v>0</v>
      </c>
      <c r="G108" s="2">
        <f>VLOOKUP(C108, Products!A:F, 5, FALSE)</f>
        <v>0</v>
      </c>
      <c r="H108" s="3">
        <f>VLOOKUP(C108, Products!A:F, 6, FALSE)</f>
        <v>0</v>
      </c>
      <c r="I108" s="2">
        <f>G108 * D108</f>
        <v>0</v>
      </c>
      <c r="J108" s="4">
        <f>VLOOKUP(D108, Volume_Discounts!A:C, 3, TRUE)</f>
        <v>0</v>
      </c>
      <c r="K108" s="2">
        <f>I108 * (1 - J108)</f>
        <v>0</v>
      </c>
      <c r="L108" s="3">
        <f>H108 * D108</f>
        <v>0</v>
      </c>
      <c r="M108" s="2">
        <f>VLOOKUP(E108, Shipping_Zones!A:C, 2, FALSE)</f>
        <v>0</v>
      </c>
      <c r="N108" s="2">
        <f>VLOOKUP(E108, Shipping_Zones!A:C, 3, FALSE)</f>
        <v>0</v>
      </c>
      <c r="O108" s="2">
        <f>M108 + (N108 * L108)</f>
        <v>0</v>
      </c>
      <c r="P108" s="2">
        <f>(F108 * D108) + O108</f>
        <v>0</v>
      </c>
      <c r="Q108" s="2">
        <f>K108 - P108</f>
        <v>0</v>
      </c>
    </row>
    <row r="109" spans="1:17">
      <c r="A109" t="s">
        <v>243</v>
      </c>
      <c r="B109" t="s">
        <v>532</v>
      </c>
      <c r="C109" t="s">
        <v>27</v>
      </c>
      <c r="D109">
        <v>101</v>
      </c>
      <c r="E109" t="s">
        <v>114</v>
      </c>
      <c r="F109" s="2">
        <f>VLOOKUP(C109, Products!A:F, 4, FALSE)</f>
        <v>0</v>
      </c>
      <c r="G109" s="2">
        <f>VLOOKUP(C109, Products!A:F, 5, FALSE)</f>
        <v>0</v>
      </c>
      <c r="H109" s="3">
        <f>VLOOKUP(C109, Products!A:F, 6, FALSE)</f>
        <v>0</v>
      </c>
      <c r="I109" s="2">
        <f>G109 * D109</f>
        <v>0</v>
      </c>
      <c r="J109" s="4">
        <f>VLOOKUP(D109, Volume_Discounts!A:C, 3, TRUE)</f>
        <v>0</v>
      </c>
      <c r="K109" s="2">
        <f>I109 * (1 - J109)</f>
        <v>0</v>
      </c>
      <c r="L109" s="3">
        <f>H109 * D109</f>
        <v>0</v>
      </c>
      <c r="M109" s="2">
        <f>VLOOKUP(E109, Shipping_Zones!A:C, 2, FALSE)</f>
        <v>0</v>
      </c>
      <c r="N109" s="2">
        <f>VLOOKUP(E109, Shipping_Zones!A:C, 3, FALSE)</f>
        <v>0</v>
      </c>
      <c r="O109" s="2">
        <f>M109 + (N109 * L109)</f>
        <v>0</v>
      </c>
      <c r="P109" s="2">
        <f>(F109 * D109) + O109</f>
        <v>0</v>
      </c>
      <c r="Q109" s="2">
        <f>K109 - P109</f>
        <v>0</v>
      </c>
    </row>
    <row r="110" spans="1:17">
      <c r="A110" t="s">
        <v>244</v>
      </c>
      <c r="B110" t="s">
        <v>533</v>
      </c>
      <c r="C110" t="s">
        <v>22</v>
      </c>
      <c r="D110">
        <v>103</v>
      </c>
      <c r="E110" t="s">
        <v>116</v>
      </c>
      <c r="F110" s="2">
        <f>VLOOKUP(C110, Products!A:F, 4, FALSE)</f>
        <v>0</v>
      </c>
      <c r="G110" s="2">
        <f>VLOOKUP(C110, Products!A:F, 5, FALSE)</f>
        <v>0</v>
      </c>
      <c r="H110" s="3">
        <f>VLOOKUP(C110, Products!A:F, 6, FALSE)</f>
        <v>0</v>
      </c>
      <c r="I110" s="2">
        <f>G110 * D110</f>
        <v>0</v>
      </c>
      <c r="J110" s="4">
        <f>VLOOKUP(D110, Volume_Discounts!A:C, 3, TRUE)</f>
        <v>0</v>
      </c>
      <c r="K110" s="2">
        <f>I110 * (1 - J110)</f>
        <v>0</v>
      </c>
      <c r="L110" s="3">
        <f>H110 * D110</f>
        <v>0</v>
      </c>
      <c r="M110" s="2">
        <f>VLOOKUP(E110, Shipping_Zones!A:C, 2, FALSE)</f>
        <v>0</v>
      </c>
      <c r="N110" s="2">
        <f>VLOOKUP(E110, Shipping_Zones!A:C, 3, FALSE)</f>
        <v>0</v>
      </c>
      <c r="O110" s="2">
        <f>M110 + (N110 * L110)</f>
        <v>0</v>
      </c>
      <c r="P110" s="2">
        <f>(F110 * D110) + O110</f>
        <v>0</v>
      </c>
      <c r="Q110" s="2">
        <f>K110 - P110</f>
        <v>0</v>
      </c>
    </row>
    <row r="111" spans="1:17">
      <c r="A111" t="s">
        <v>245</v>
      </c>
      <c r="B111" t="s">
        <v>465</v>
      </c>
      <c r="C111" t="s">
        <v>11</v>
      </c>
      <c r="D111">
        <v>99</v>
      </c>
      <c r="E111" t="s">
        <v>116</v>
      </c>
      <c r="F111" s="2">
        <f>VLOOKUP(C111, Products!A:F, 4, FALSE)</f>
        <v>0</v>
      </c>
      <c r="G111" s="2">
        <f>VLOOKUP(C111, Products!A:F, 5, FALSE)</f>
        <v>0</v>
      </c>
      <c r="H111" s="3">
        <f>VLOOKUP(C111, Products!A:F, 6, FALSE)</f>
        <v>0</v>
      </c>
      <c r="I111" s="2">
        <f>G111 * D111</f>
        <v>0</v>
      </c>
      <c r="J111" s="4">
        <f>VLOOKUP(D111, Volume_Discounts!A:C, 3, TRUE)</f>
        <v>0</v>
      </c>
      <c r="K111" s="2">
        <f>I111 * (1 - J111)</f>
        <v>0</v>
      </c>
      <c r="L111" s="3">
        <f>H111 * D111</f>
        <v>0</v>
      </c>
      <c r="M111" s="2">
        <f>VLOOKUP(E111, Shipping_Zones!A:C, 2, FALSE)</f>
        <v>0</v>
      </c>
      <c r="N111" s="2">
        <f>VLOOKUP(E111, Shipping_Zones!A:C, 3, FALSE)</f>
        <v>0</v>
      </c>
      <c r="O111" s="2">
        <f>M111 + (N111 * L111)</f>
        <v>0</v>
      </c>
      <c r="P111" s="2">
        <f>(F111 * D111) + O111</f>
        <v>0</v>
      </c>
      <c r="Q111" s="2">
        <f>K111 - P111</f>
        <v>0</v>
      </c>
    </row>
    <row r="112" spans="1:17">
      <c r="A112" t="s">
        <v>246</v>
      </c>
      <c r="B112" t="s">
        <v>534</v>
      </c>
      <c r="C112" t="s">
        <v>24</v>
      </c>
      <c r="D112">
        <v>32</v>
      </c>
      <c r="E112" t="s">
        <v>115</v>
      </c>
      <c r="F112" s="2">
        <f>VLOOKUP(C112, Products!A:F, 4, FALSE)</f>
        <v>0</v>
      </c>
      <c r="G112" s="2">
        <f>VLOOKUP(C112, Products!A:F, 5, FALSE)</f>
        <v>0</v>
      </c>
      <c r="H112" s="3">
        <f>VLOOKUP(C112, Products!A:F, 6, FALSE)</f>
        <v>0</v>
      </c>
      <c r="I112" s="2">
        <f>G112 * D112</f>
        <v>0</v>
      </c>
      <c r="J112" s="4">
        <f>VLOOKUP(D112, Volume_Discounts!A:C, 3, TRUE)</f>
        <v>0</v>
      </c>
      <c r="K112" s="2">
        <f>I112 * (1 - J112)</f>
        <v>0</v>
      </c>
      <c r="L112" s="3">
        <f>H112 * D112</f>
        <v>0</v>
      </c>
      <c r="M112" s="2">
        <f>VLOOKUP(E112, Shipping_Zones!A:C, 2, FALSE)</f>
        <v>0</v>
      </c>
      <c r="N112" s="2">
        <f>VLOOKUP(E112, Shipping_Zones!A:C, 3, FALSE)</f>
        <v>0</v>
      </c>
      <c r="O112" s="2">
        <f>M112 + (N112 * L112)</f>
        <v>0</v>
      </c>
      <c r="P112" s="2">
        <f>(F112 * D112) + O112</f>
        <v>0</v>
      </c>
      <c r="Q112" s="2">
        <f>K112 - P112</f>
        <v>0</v>
      </c>
    </row>
    <row r="113" spans="1:17">
      <c r="A113" t="s">
        <v>247</v>
      </c>
      <c r="B113" t="s">
        <v>535</v>
      </c>
      <c r="C113" t="s">
        <v>18</v>
      </c>
      <c r="D113">
        <v>36</v>
      </c>
      <c r="E113" t="s">
        <v>114</v>
      </c>
      <c r="F113" s="2">
        <f>VLOOKUP(C113, Products!A:F, 4, FALSE)</f>
        <v>0</v>
      </c>
      <c r="G113" s="2">
        <f>VLOOKUP(C113, Products!A:F, 5, FALSE)</f>
        <v>0</v>
      </c>
      <c r="H113" s="3">
        <f>VLOOKUP(C113, Products!A:F, 6, FALSE)</f>
        <v>0</v>
      </c>
      <c r="I113" s="2">
        <f>G113 * D113</f>
        <v>0</v>
      </c>
      <c r="J113" s="4">
        <f>VLOOKUP(D113, Volume_Discounts!A:C, 3, TRUE)</f>
        <v>0</v>
      </c>
      <c r="K113" s="2">
        <f>I113 * (1 - J113)</f>
        <v>0</v>
      </c>
      <c r="L113" s="3">
        <f>H113 * D113</f>
        <v>0</v>
      </c>
      <c r="M113" s="2">
        <f>VLOOKUP(E113, Shipping_Zones!A:C, 2, FALSE)</f>
        <v>0</v>
      </c>
      <c r="N113" s="2">
        <f>VLOOKUP(E113, Shipping_Zones!A:C, 3, FALSE)</f>
        <v>0</v>
      </c>
      <c r="O113" s="2">
        <f>M113 + (N113 * L113)</f>
        <v>0</v>
      </c>
      <c r="P113" s="2">
        <f>(F113 * D113) + O113</f>
        <v>0</v>
      </c>
      <c r="Q113" s="2">
        <f>K113 - P113</f>
        <v>0</v>
      </c>
    </row>
    <row r="114" spans="1:17">
      <c r="A114" t="s">
        <v>248</v>
      </c>
      <c r="B114" t="s">
        <v>536</v>
      </c>
      <c r="C114" t="s">
        <v>31</v>
      </c>
      <c r="D114">
        <v>62</v>
      </c>
      <c r="E114" t="s">
        <v>117</v>
      </c>
      <c r="F114" s="2">
        <f>VLOOKUP(C114, Products!A:F, 4, FALSE)</f>
        <v>0</v>
      </c>
      <c r="G114" s="2">
        <f>VLOOKUP(C114, Products!A:F, 5, FALSE)</f>
        <v>0</v>
      </c>
      <c r="H114" s="3">
        <f>VLOOKUP(C114, Products!A:F, 6, FALSE)</f>
        <v>0</v>
      </c>
      <c r="I114" s="2">
        <f>G114 * D114</f>
        <v>0</v>
      </c>
      <c r="J114" s="4">
        <f>VLOOKUP(D114, Volume_Discounts!A:C, 3, TRUE)</f>
        <v>0</v>
      </c>
      <c r="K114" s="2">
        <f>I114 * (1 - J114)</f>
        <v>0</v>
      </c>
      <c r="L114" s="3">
        <f>H114 * D114</f>
        <v>0</v>
      </c>
      <c r="M114" s="2">
        <f>VLOOKUP(E114, Shipping_Zones!A:C, 2, FALSE)</f>
        <v>0</v>
      </c>
      <c r="N114" s="2">
        <f>VLOOKUP(E114, Shipping_Zones!A:C, 3, FALSE)</f>
        <v>0</v>
      </c>
      <c r="O114" s="2">
        <f>M114 + (N114 * L114)</f>
        <v>0</v>
      </c>
      <c r="P114" s="2">
        <f>(F114 * D114) + O114</f>
        <v>0</v>
      </c>
      <c r="Q114" s="2">
        <f>K114 - P114</f>
        <v>0</v>
      </c>
    </row>
    <row r="115" spans="1:17">
      <c r="A115" t="s">
        <v>249</v>
      </c>
      <c r="B115" t="s">
        <v>488</v>
      </c>
      <c r="C115" t="s">
        <v>10</v>
      </c>
      <c r="D115">
        <v>110</v>
      </c>
      <c r="E115" t="s">
        <v>116</v>
      </c>
      <c r="F115" s="2">
        <f>VLOOKUP(C115, Products!A:F, 4, FALSE)</f>
        <v>0</v>
      </c>
      <c r="G115" s="2">
        <f>VLOOKUP(C115, Products!A:F, 5, FALSE)</f>
        <v>0</v>
      </c>
      <c r="H115" s="3">
        <f>VLOOKUP(C115, Products!A:F, 6, FALSE)</f>
        <v>0</v>
      </c>
      <c r="I115" s="2">
        <f>G115 * D115</f>
        <v>0</v>
      </c>
      <c r="J115" s="4">
        <f>VLOOKUP(D115, Volume_Discounts!A:C, 3, TRUE)</f>
        <v>0</v>
      </c>
      <c r="K115" s="2">
        <f>I115 * (1 - J115)</f>
        <v>0</v>
      </c>
      <c r="L115" s="3">
        <f>H115 * D115</f>
        <v>0</v>
      </c>
      <c r="M115" s="2">
        <f>VLOOKUP(E115, Shipping_Zones!A:C, 2, FALSE)</f>
        <v>0</v>
      </c>
      <c r="N115" s="2">
        <f>VLOOKUP(E115, Shipping_Zones!A:C, 3, FALSE)</f>
        <v>0</v>
      </c>
      <c r="O115" s="2">
        <f>M115 + (N115 * L115)</f>
        <v>0</v>
      </c>
      <c r="P115" s="2">
        <f>(F115 * D115) + O115</f>
        <v>0</v>
      </c>
      <c r="Q115" s="2">
        <f>K115 - P115</f>
        <v>0</v>
      </c>
    </row>
    <row r="116" spans="1:17">
      <c r="A116" t="s">
        <v>250</v>
      </c>
      <c r="B116" t="s">
        <v>537</v>
      </c>
      <c r="C116" t="s">
        <v>38</v>
      </c>
      <c r="D116">
        <v>11</v>
      </c>
      <c r="E116" t="s">
        <v>117</v>
      </c>
      <c r="F116" s="2">
        <f>VLOOKUP(C116, Products!A:F, 4, FALSE)</f>
        <v>0</v>
      </c>
      <c r="G116" s="2">
        <f>VLOOKUP(C116, Products!A:F, 5, FALSE)</f>
        <v>0</v>
      </c>
      <c r="H116" s="3">
        <f>VLOOKUP(C116, Products!A:F, 6, FALSE)</f>
        <v>0</v>
      </c>
      <c r="I116" s="2">
        <f>G116 * D116</f>
        <v>0</v>
      </c>
      <c r="J116" s="4">
        <f>VLOOKUP(D116, Volume_Discounts!A:C, 3, TRUE)</f>
        <v>0</v>
      </c>
      <c r="K116" s="2">
        <f>I116 * (1 - J116)</f>
        <v>0</v>
      </c>
      <c r="L116" s="3">
        <f>H116 * D116</f>
        <v>0</v>
      </c>
      <c r="M116" s="2">
        <f>VLOOKUP(E116, Shipping_Zones!A:C, 2, FALSE)</f>
        <v>0</v>
      </c>
      <c r="N116" s="2">
        <f>VLOOKUP(E116, Shipping_Zones!A:C, 3, FALSE)</f>
        <v>0</v>
      </c>
      <c r="O116" s="2">
        <f>M116 + (N116 * L116)</f>
        <v>0</v>
      </c>
      <c r="P116" s="2">
        <f>(F116 * D116) + O116</f>
        <v>0</v>
      </c>
      <c r="Q116" s="2">
        <f>K116 - P116</f>
        <v>0</v>
      </c>
    </row>
    <row r="117" spans="1:17">
      <c r="A117" t="s">
        <v>251</v>
      </c>
      <c r="B117" t="s">
        <v>538</v>
      </c>
      <c r="C117" t="s">
        <v>17</v>
      </c>
      <c r="D117">
        <v>4</v>
      </c>
      <c r="E117" t="s">
        <v>115</v>
      </c>
      <c r="F117" s="2">
        <f>VLOOKUP(C117, Products!A:F, 4, FALSE)</f>
        <v>0</v>
      </c>
      <c r="G117" s="2">
        <f>VLOOKUP(C117, Products!A:F, 5, FALSE)</f>
        <v>0</v>
      </c>
      <c r="H117" s="3">
        <f>VLOOKUP(C117, Products!A:F, 6, FALSE)</f>
        <v>0</v>
      </c>
      <c r="I117" s="2">
        <f>G117 * D117</f>
        <v>0</v>
      </c>
      <c r="J117" s="4">
        <f>VLOOKUP(D117, Volume_Discounts!A:C, 3, TRUE)</f>
        <v>0</v>
      </c>
      <c r="K117" s="2">
        <f>I117 * (1 - J117)</f>
        <v>0</v>
      </c>
      <c r="L117" s="3">
        <f>H117 * D117</f>
        <v>0</v>
      </c>
      <c r="M117" s="2">
        <f>VLOOKUP(E117, Shipping_Zones!A:C, 2, FALSE)</f>
        <v>0</v>
      </c>
      <c r="N117" s="2">
        <f>VLOOKUP(E117, Shipping_Zones!A:C, 3, FALSE)</f>
        <v>0</v>
      </c>
      <c r="O117" s="2">
        <f>M117 + (N117 * L117)</f>
        <v>0</v>
      </c>
      <c r="P117" s="2">
        <f>(F117 * D117) + O117</f>
        <v>0</v>
      </c>
      <c r="Q117" s="2">
        <f>K117 - P117</f>
        <v>0</v>
      </c>
    </row>
    <row r="118" spans="1:17">
      <c r="A118" t="s">
        <v>252</v>
      </c>
      <c r="B118" t="s">
        <v>539</v>
      </c>
      <c r="C118" t="s">
        <v>34</v>
      </c>
      <c r="D118">
        <v>71</v>
      </c>
      <c r="E118" t="s">
        <v>114</v>
      </c>
      <c r="F118" s="2">
        <f>VLOOKUP(C118, Products!A:F, 4, FALSE)</f>
        <v>0</v>
      </c>
      <c r="G118" s="2">
        <f>VLOOKUP(C118, Products!A:F, 5, FALSE)</f>
        <v>0</v>
      </c>
      <c r="H118" s="3">
        <f>VLOOKUP(C118, Products!A:F, 6, FALSE)</f>
        <v>0</v>
      </c>
      <c r="I118" s="2">
        <f>G118 * D118</f>
        <v>0</v>
      </c>
      <c r="J118" s="4">
        <f>VLOOKUP(D118, Volume_Discounts!A:C, 3, TRUE)</f>
        <v>0</v>
      </c>
      <c r="K118" s="2">
        <f>I118 * (1 - J118)</f>
        <v>0</v>
      </c>
      <c r="L118" s="3">
        <f>H118 * D118</f>
        <v>0</v>
      </c>
      <c r="M118" s="2">
        <f>VLOOKUP(E118, Shipping_Zones!A:C, 2, FALSE)</f>
        <v>0</v>
      </c>
      <c r="N118" s="2">
        <f>VLOOKUP(E118, Shipping_Zones!A:C, 3, FALSE)</f>
        <v>0</v>
      </c>
      <c r="O118" s="2">
        <f>M118 + (N118 * L118)</f>
        <v>0</v>
      </c>
      <c r="P118" s="2">
        <f>(F118 * D118) + O118</f>
        <v>0</v>
      </c>
      <c r="Q118" s="2">
        <f>K118 - P118</f>
        <v>0</v>
      </c>
    </row>
    <row r="119" spans="1:17">
      <c r="A119" t="s">
        <v>253</v>
      </c>
      <c r="B119" t="s">
        <v>540</v>
      </c>
      <c r="C119" t="s">
        <v>6</v>
      </c>
      <c r="D119">
        <v>80</v>
      </c>
      <c r="E119" t="s">
        <v>115</v>
      </c>
      <c r="F119" s="2">
        <f>VLOOKUP(C119, Products!A:F, 4, FALSE)</f>
        <v>0</v>
      </c>
      <c r="G119" s="2">
        <f>VLOOKUP(C119, Products!A:F, 5, FALSE)</f>
        <v>0</v>
      </c>
      <c r="H119" s="3">
        <f>VLOOKUP(C119, Products!A:F, 6, FALSE)</f>
        <v>0</v>
      </c>
      <c r="I119" s="2">
        <f>G119 * D119</f>
        <v>0</v>
      </c>
      <c r="J119" s="4">
        <f>VLOOKUP(D119, Volume_Discounts!A:C, 3, TRUE)</f>
        <v>0</v>
      </c>
      <c r="K119" s="2">
        <f>I119 * (1 - J119)</f>
        <v>0</v>
      </c>
      <c r="L119" s="3">
        <f>H119 * D119</f>
        <v>0</v>
      </c>
      <c r="M119" s="2">
        <f>VLOOKUP(E119, Shipping_Zones!A:C, 2, FALSE)</f>
        <v>0</v>
      </c>
      <c r="N119" s="2">
        <f>VLOOKUP(E119, Shipping_Zones!A:C, 3, FALSE)</f>
        <v>0</v>
      </c>
      <c r="O119" s="2">
        <f>M119 + (N119 * L119)</f>
        <v>0</v>
      </c>
      <c r="P119" s="2">
        <f>(F119 * D119) + O119</f>
        <v>0</v>
      </c>
      <c r="Q119" s="2">
        <f>K119 - P119</f>
        <v>0</v>
      </c>
    </row>
    <row r="120" spans="1:17">
      <c r="A120" t="s">
        <v>254</v>
      </c>
      <c r="B120" t="s">
        <v>541</v>
      </c>
      <c r="C120" t="s">
        <v>17</v>
      </c>
      <c r="D120">
        <v>68</v>
      </c>
      <c r="E120" t="s">
        <v>117</v>
      </c>
      <c r="F120" s="2">
        <f>VLOOKUP(C120, Products!A:F, 4, FALSE)</f>
        <v>0</v>
      </c>
      <c r="G120" s="2">
        <f>VLOOKUP(C120, Products!A:F, 5, FALSE)</f>
        <v>0</v>
      </c>
      <c r="H120" s="3">
        <f>VLOOKUP(C120, Products!A:F, 6, FALSE)</f>
        <v>0</v>
      </c>
      <c r="I120" s="2">
        <f>G120 * D120</f>
        <v>0</v>
      </c>
      <c r="J120" s="4">
        <f>VLOOKUP(D120, Volume_Discounts!A:C, 3, TRUE)</f>
        <v>0</v>
      </c>
      <c r="K120" s="2">
        <f>I120 * (1 - J120)</f>
        <v>0</v>
      </c>
      <c r="L120" s="3">
        <f>H120 * D120</f>
        <v>0</v>
      </c>
      <c r="M120" s="2">
        <f>VLOOKUP(E120, Shipping_Zones!A:C, 2, FALSE)</f>
        <v>0</v>
      </c>
      <c r="N120" s="2">
        <f>VLOOKUP(E120, Shipping_Zones!A:C, 3, FALSE)</f>
        <v>0</v>
      </c>
      <c r="O120" s="2">
        <f>M120 + (N120 * L120)</f>
        <v>0</v>
      </c>
      <c r="P120" s="2">
        <f>(F120 * D120) + O120</f>
        <v>0</v>
      </c>
      <c r="Q120" s="2">
        <f>K120 - P120</f>
        <v>0</v>
      </c>
    </row>
    <row r="121" spans="1:17">
      <c r="A121" t="s">
        <v>255</v>
      </c>
      <c r="B121" t="s">
        <v>494</v>
      </c>
      <c r="C121" t="s">
        <v>26</v>
      </c>
      <c r="D121">
        <v>30</v>
      </c>
      <c r="E121" t="s">
        <v>115</v>
      </c>
      <c r="F121" s="2">
        <f>VLOOKUP(C121, Products!A:F, 4, FALSE)</f>
        <v>0</v>
      </c>
      <c r="G121" s="2">
        <f>VLOOKUP(C121, Products!A:F, 5, FALSE)</f>
        <v>0</v>
      </c>
      <c r="H121" s="3">
        <f>VLOOKUP(C121, Products!A:F, 6, FALSE)</f>
        <v>0</v>
      </c>
      <c r="I121" s="2">
        <f>G121 * D121</f>
        <v>0</v>
      </c>
      <c r="J121" s="4">
        <f>VLOOKUP(D121, Volume_Discounts!A:C, 3, TRUE)</f>
        <v>0</v>
      </c>
      <c r="K121" s="2">
        <f>I121 * (1 - J121)</f>
        <v>0</v>
      </c>
      <c r="L121" s="3">
        <f>H121 * D121</f>
        <v>0</v>
      </c>
      <c r="M121" s="2">
        <f>VLOOKUP(E121, Shipping_Zones!A:C, 2, FALSE)</f>
        <v>0</v>
      </c>
      <c r="N121" s="2">
        <f>VLOOKUP(E121, Shipping_Zones!A:C, 3, FALSE)</f>
        <v>0</v>
      </c>
      <c r="O121" s="2">
        <f>M121 + (N121 * L121)</f>
        <v>0</v>
      </c>
      <c r="P121" s="2">
        <f>(F121 * D121) + O121</f>
        <v>0</v>
      </c>
      <c r="Q121" s="2">
        <f>K121 - P121</f>
        <v>0</v>
      </c>
    </row>
    <row r="122" spans="1:17">
      <c r="A122" t="s">
        <v>256</v>
      </c>
      <c r="B122" t="s">
        <v>542</v>
      </c>
      <c r="C122" t="s">
        <v>32</v>
      </c>
      <c r="D122">
        <v>24</v>
      </c>
      <c r="E122" t="s">
        <v>117</v>
      </c>
      <c r="F122" s="2">
        <f>VLOOKUP(C122, Products!A:F, 4, FALSE)</f>
        <v>0</v>
      </c>
      <c r="G122" s="2">
        <f>VLOOKUP(C122, Products!A:F, 5, FALSE)</f>
        <v>0</v>
      </c>
      <c r="H122" s="3">
        <f>VLOOKUP(C122, Products!A:F, 6, FALSE)</f>
        <v>0</v>
      </c>
      <c r="I122" s="2">
        <f>G122 * D122</f>
        <v>0</v>
      </c>
      <c r="J122" s="4">
        <f>VLOOKUP(D122, Volume_Discounts!A:C, 3, TRUE)</f>
        <v>0</v>
      </c>
      <c r="K122" s="2">
        <f>I122 * (1 - J122)</f>
        <v>0</v>
      </c>
      <c r="L122" s="3">
        <f>H122 * D122</f>
        <v>0</v>
      </c>
      <c r="M122" s="2">
        <f>VLOOKUP(E122, Shipping_Zones!A:C, 2, FALSE)</f>
        <v>0</v>
      </c>
      <c r="N122" s="2">
        <f>VLOOKUP(E122, Shipping_Zones!A:C, 3, FALSE)</f>
        <v>0</v>
      </c>
      <c r="O122" s="2">
        <f>M122 + (N122 * L122)</f>
        <v>0</v>
      </c>
      <c r="P122" s="2">
        <f>(F122 * D122) + O122</f>
        <v>0</v>
      </c>
      <c r="Q122" s="2">
        <f>K122 - P122</f>
        <v>0</v>
      </c>
    </row>
    <row r="123" spans="1:17">
      <c r="A123" t="s">
        <v>257</v>
      </c>
      <c r="B123" t="s">
        <v>543</v>
      </c>
      <c r="C123" t="s">
        <v>18</v>
      </c>
      <c r="D123">
        <v>57</v>
      </c>
      <c r="E123" t="s">
        <v>115</v>
      </c>
      <c r="F123" s="2">
        <f>VLOOKUP(C123, Products!A:F, 4, FALSE)</f>
        <v>0</v>
      </c>
      <c r="G123" s="2">
        <f>VLOOKUP(C123, Products!A:F, 5, FALSE)</f>
        <v>0</v>
      </c>
      <c r="H123" s="3">
        <f>VLOOKUP(C123, Products!A:F, 6, FALSE)</f>
        <v>0</v>
      </c>
      <c r="I123" s="2">
        <f>G123 * D123</f>
        <v>0</v>
      </c>
      <c r="J123" s="4">
        <f>VLOOKUP(D123, Volume_Discounts!A:C, 3, TRUE)</f>
        <v>0</v>
      </c>
      <c r="K123" s="2">
        <f>I123 * (1 - J123)</f>
        <v>0</v>
      </c>
      <c r="L123" s="3">
        <f>H123 * D123</f>
        <v>0</v>
      </c>
      <c r="M123" s="2">
        <f>VLOOKUP(E123, Shipping_Zones!A:C, 2, FALSE)</f>
        <v>0</v>
      </c>
      <c r="N123" s="2">
        <f>VLOOKUP(E123, Shipping_Zones!A:C, 3, FALSE)</f>
        <v>0</v>
      </c>
      <c r="O123" s="2">
        <f>M123 + (N123 * L123)</f>
        <v>0</v>
      </c>
      <c r="P123" s="2">
        <f>(F123 * D123) + O123</f>
        <v>0</v>
      </c>
      <c r="Q123" s="2">
        <f>K123 - P123</f>
        <v>0</v>
      </c>
    </row>
    <row r="124" spans="1:17">
      <c r="A124" t="s">
        <v>258</v>
      </c>
      <c r="B124" t="s">
        <v>470</v>
      </c>
      <c r="C124" t="s">
        <v>52</v>
      </c>
      <c r="D124">
        <v>25</v>
      </c>
      <c r="E124" t="s">
        <v>114</v>
      </c>
      <c r="F124" s="2">
        <f>VLOOKUP(C124, Products!A:F, 4, FALSE)</f>
        <v>0</v>
      </c>
      <c r="G124" s="2">
        <f>VLOOKUP(C124, Products!A:F, 5, FALSE)</f>
        <v>0</v>
      </c>
      <c r="H124" s="3">
        <f>VLOOKUP(C124, Products!A:F, 6, FALSE)</f>
        <v>0</v>
      </c>
      <c r="I124" s="2">
        <f>G124 * D124</f>
        <v>0</v>
      </c>
      <c r="J124" s="4">
        <f>VLOOKUP(D124, Volume_Discounts!A:C, 3, TRUE)</f>
        <v>0</v>
      </c>
      <c r="K124" s="2">
        <f>I124 * (1 - J124)</f>
        <v>0</v>
      </c>
      <c r="L124" s="3">
        <f>H124 * D124</f>
        <v>0</v>
      </c>
      <c r="M124" s="2">
        <f>VLOOKUP(E124, Shipping_Zones!A:C, 2, FALSE)</f>
        <v>0</v>
      </c>
      <c r="N124" s="2">
        <f>VLOOKUP(E124, Shipping_Zones!A:C, 3, FALSE)</f>
        <v>0</v>
      </c>
      <c r="O124" s="2">
        <f>M124 + (N124 * L124)</f>
        <v>0</v>
      </c>
      <c r="P124" s="2">
        <f>(F124 * D124) + O124</f>
        <v>0</v>
      </c>
      <c r="Q124" s="2">
        <f>K124 - P124</f>
        <v>0</v>
      </c>
    </row>
    <row r="125" spans="1:17">
      <c r="A125" t="s">
        <v>259</v>
      </c>
      <c r="B125" t="s">
        <v>544</v>
      </c>
      <c r="C125" t="s">
        <v>27</v>
      </c>
      <c r="D125">
        <v>111</v>
      </c>
      <c r="E125" t="s">
        <v>117</v>
      </c>
      <c r="F125" s="2">
        <f>VLOOKUP(C125, Products!A:F, 4, FALSE)</f>
        <v>0</v>
      </c>
      <c r="G125" s="2">
        <f>VLOOKUP(C125, Products!A:F, 5, FALSE)</f>
        <v>0</v>
      </c>
      <c r="H125" s="3">
        <f>VLOOKUP(C125, Products!A:F, 6, FALSE)</f>
        <v>0</v>
      </c>
      <c r="I125" s="2">
        <f>G125 * D125</f>
        <v>0</v>
      </c>
      <c r="J125" s="4">
        <f>VLOOKUP(D125, Volume_Discounts!A:C, 3, TRUE)</f>
        <v>0</v>
      </c>
      <c r="K125" s="2">
        <f>I125 * (1 - J125)</f>
        <v>0</v>
      </c>
      <c r="L125" s="3">
        <f>H125 * D125</f>
        <v>0</v>
      </c>
      <c r="M125" s="2">
        <f>VLOOKUP(E125, Shipping_Zones!A:C, 2, FALSE)</f>
        <v>0</v>
      </c>
      <c r="N125" s="2">
        <f>VLOOKUP(E125, Shipping_Zones!A:C, 3, FALSE)</f>
        <v>0</v>
      </c>
      <c r="O125" s="2">
        <f>M125 + (N125 * L125)</f>
        <v>0</v>
      </c>
      <c r="P125" s="2">
        <f>(F125 * D125) + O125</f>
        <v>0</v>
      </c>
      <c r="Q125" s="2">
        <f>K125 - P125</f>
        <v>0</v>
      </c>
    </row>
    <row r="126" spans="1:17">
      <c r="A126" t="s">
        <v>260</v>
      </c>
      <c r="B126" t="s">
        <v>491</v>
      </c>
      <c r="C126" t="s">
        <v>44</v>
      </c>
      <c r="D126">
        <v>62</v>
      </c>
      <c r="E126" t="s">
        <v>114</v>
      </c>
      <c r="F126" s="2">
        <f>VLOOKUP(C126, Products!A:F, 4, FALSE)</f>
        <v>0</v>
      </c>
      <c r="G126" s="2">
        <f>VLOOKUP(C126, Products!A:F, 5, FALSE)</f>
        <v>0</v>
      </c>
      <c r="H126" s="3">
        <f>VLOOKUP(C126, Products!A:F, 6, FALSE)</f>
        <v>0</v>
      </c>
      <c r="I126" s="2">
        <f>G126 * D126</f>
        <v>0</v>
      </c>
      <c r="J126" s="4">
        <f>VLOOKUP(D126, Volume_Discounts!A:C, 3, TRUE)</f>
        <v>0</v>
      </c>
      <c r="K126" s="2">
        <f>I126 * (1 - J126)</f>
        <v>0</v>
      </c>
      <c r="L126" s="3">
        <f>H126 * D126</f>
        <v>0</v>
      </c>
      <c r="M126" s="2">
        <f>VLOOKUP(E126, Shipping_Zones!A:C, 2, FALSE)</f>
        <v>0</v>
      </c>
      <c r="N126" s="2">
        <f>VLOOKUP(E126, Shipping_Zones!A:C, 3, FALSE)</f>
        <v>0</v>
      </c>
      <c r="O126" s="2">
        <f>M126 + (N126 * L126)</f>
        <v>0</v>
      </c>
      <c r="P126" s="2">
        <f>(F126 * D126) + O126</f>
        <v>0</v>
      </c>
      <c r="Q126" s="2">
        <f>K126 - P126</f>
        <v>0</v>
      </c>
    </row>
    <row r="127" spans="1:17">
      <c r="A127" t="s">
        <v>261</v>
      </c>
      <c r="B127" t="s">
        <v>545</v>
      </c>
      <c r="C127" t="s">
        <v>42</v>
      </c>
      <c r="D127">
        <v>119</v>
      </c>
      <c r="E127" t="s">
        <v>116</v>
      </c>
      <c r="F127" s="2">
        <f>VLOOKUP(C127, Products!A:F, 4, FALSE)</f>
        <v>0</v>
      </c>
      <c r="G127" s="2">
        <f>VLOOKUP(C127, Products!A:F, 5, FALSE)</f>
        <v>0</v>
      </c>
      <c r="H127" s="3">
        <f>VLOOKUP(C127, Products!A:F, 6, FALSE)</f>
        <v>0</v>
      </c>
      <c r="I127" s="2">
        <f>G127 * D127</f>
        <v>0</v>
      </c>
      <c r="J127" s="4">
        <f>VLOOKUP(D127, Volume_Discounts!A:C, 3, TRUE)</f>
        <v>0</v>
      </c>
      <c r="K127" s="2">
        <f>I127 * (1 - J127)</f>
        <v>0</v>
      </c>
      <c r="L127" s="3">
        <f>H127 * D127</f>
        <v>0</v>
      </c>
      <c r="M127" s="2">
        <f>VLOOKUP(E127, Shipping_Zones!A:C, 2, FALSE)</f>
        <v>0</v>
      </c>
      <c r="N127" s="2">
        <f>VLOOKUP(E127, Shipping_Zones!A:C, 3, FALSE)</f>
        <v>0</v>
      </c>
      <c r="O127" s="2">
        <f>M127 + (N127 * L127)</f>
        <v>0</v>
      </c>
      <c r="P127" s="2">
        <f>(F127 * D127) + O127</f>
        <v>0</v>
      </c>
      <c r="Q127" s="2">
        <f>K127 - P127</f>
        <v>0</v>
      </c>
    </row>
    <row r="128" spans="1:17">
      <c r="A128" t="s">
        <v>262</v>
      </c>
      <c r="B128" t="s">
        <v>471</v>
      </c>
      <c r="C128" t="s">
        <v>29</v>
      </c>
      <c r="D128">
        <v>8</v>
      </c>
      <c r="E128" t="s">
        <v>116</v>
      </c>
      <c r="F128" s="2">
        <f>VLOOKUP(C128, Products!A:F, 4, FALSE)</f>
        <v>0</v>
      </c>
      <c r="G128" s="2">
        <f>VLOOKUP(C128, Products!A:F, 5, FALSE)</f>
        <v>0</v>
      </c>
      <c r="H128" s="3">
        <f>VLOOKUP(C128, Products!A:F, 6, FALSE)</f>
        <v>0</v>
      </c>
      <c r="I128" s="2">
        <f>G128 * D128</f>
        <v>0</v>
      </c>
      <c r="J128" s="4">
        <f>VLOOKUP(D128, Volume_Discounts!A:C, 3, TRUE)</f>
        <v>0</v>
      </c>
      <c r="K128" s="2">
        <f>I128 * (1 - J128)</f>
        <v>0</v>
      </c>
      <c r="L128" s="3">
        <f>H128 * D128</f>
        <v>0</v>
      </c>
      <c r="M128" s="2">
        <f>VLOOKUP(E128, Shipping_Zones!A:C, 2, FALSE)</f>
        <v>0</v>
      </c>
      <c r="N128" s="2">
        <f>VLOOKUP(E128, Shipping_Zones!A:C, 3, FALSE)</f>
        <v>0</v>
      </c>
      <c r="O128" s="2">
        <f>M128 + (N128 * L128)</f>
        <v>0</v>
      </c>
      <c r="P128" s="2">
        <f>(F128 * D128) + O128</f>
        <v>0</v>
      </c>
      <c r="Q128" s="2">
        <f>K128 - P128</f>
        <v>0</v>
      </c>
    </row>
    <row r="129" spans="1:17">
      <c r="A129" t="s">
        <v>263</v>
      </c>
      <c r="B129" t="s">
        <v>546</v>
      </c>
      <c r="C129" t="s">
        <v>26</v>
      </c>
      <c r="D129">
        <v>27</v>
      </c>
      <c r="E129" t="s">
        <v>115</v>
      </c>
      <c r="F129" s="2">
        <f>VLOOKUP(C129, Products!A:F, 4, FALSE)</f>
        <v>0</v>
      </c>
      <c r="G129" s="2">
        <f>VLOOKUP(C129, Products!A:F, 5, FALSE)</f>
        <v>0</v>
      </c>
      <c r="H129" s="3">
        <f>VLOOKUP(C129, Products!A:F, 6, FALSE)</f>
        <v>0</v>
      </c>
      <c r="I129" s="2">
        <f>G129 * D129</f>
        <v>0</v>
      </c>
      <c r="J129" s="4">
        <f>VLOOKUP(D129, Volume_Discounts!A:C, 3, TRUE)</f>
        <v>0</v>
      </c>
      <c r="K129" s="2">
        <f>I129 * (1 - J129)</f>
        <v>0</v>
      </c>
      <c r="L129" s="3">
        <f>H129 * D129</f>
        <v>0</v>
      </c>
      <c r="M129" s="2">
        <f>VLOOKUP(E129, Shipping_Zones!A:C, 2, FALSE)</f>
        <v>0</v>
      </c>
      <c r="N129" s="2">
        <f>VLOOKUP(E129, Shipping_Zones!A:C, 3, FALSE)</f>
        <v>0</v>
      </c>
      <c r="O129" s="2">
        <f>M129 + (N129 * L129)</f>
        <v>0</v>
      </c>
      <c r="P129" s="2">
        <f>(F129 * D129) + O129</f>
        <v>0</v>
      </c>
      <c r="Q129" s="2">
        <f>K129 - P129</f>
        <v>0</v>
      </c>
    </row>
    <row r="130" spans="1:17">
      <c r="A130" t="s">
        <v>264</v>
      </c>
      <c r="B130" t="s">
        <v>547</v>
      </c>
      <c r="C130" t="s">
        <v>42</v>
      </c>
      <c r="D130">
        <v>18</v>
      </c>
      <c r="E130" t="s">
        <v>117</v>
      </c>
      <c r="F130" s="2">
        <f>VLOOKUP(C130, Products!A:F, 4, FALSE)</f>
        <v>0</v>
      </c>
      <c r="G130" s="2">
        <f>VLOOKUP(C130, Products!A:F, 5, FALSE)</f>
        <v>0</v>
      </c>
      <c r="H130" s="3">
        <f>VLOOKUP(C130, Products!A:F, 6, FALSE)</f>
        <v>0</v>
      </c>
      <c r="I130" s="2">
        <f>G130 * D130</f>
        <v>0</v>
      </c>
      <c r="J130" s="4">
        <f>VLOOKUP(D130, Volume_Discounts!A:C, 3, TRUE)</f>
        <v>0</v>
      </c>
      <c r="K130" s="2">
        <f>I130 * (1 - J130)</f>
        <v>0</v>
      </c>
      <c r="L130" s="3">
        <f>H130 * D130</f>
        <v>0</v>
      </c>
      <c r="M130" s="2">
        <f>VLOOKUP(E130, Shipping_Zones!A:C, 2, FALSE)</f>
        <v>0</v>
      </c>
      <c r="N130" s="2">
        <f>VLOOKUP(E130, Shipping_Zones!A:C, 3, FALSE)</f>
        <v>0</v>
      </c>
      <c r="O130" s="2">
        <f>M130 + (N130 * L130)</f>
        <v>0</v>
      </c>
      <c r="P130" s="2">
        <f>(F130 * D130) + O130</f>
        <v>0</v>
      </c>
      <c r="Q130" s="2">
        <f>K130 - P130</f>
        <v>0</v>
      </c>
    </row>
    <row r="131" spans="1:17">
      <c r="A131" t="s">
        <v>265</v>
      </c>
      <c r="B131" t="s">
        <v>548</v>
      </c>
      <c r="C131" t="s">
        <v>38</v>
      </c>
      <c r="D131">
        <v>79</v>
      </c>
      <c r="E131" t="s">
        <v>116</v>
      </c>
      <c r="F131" s="2">
        <f>VLOOKUP(C131, Products!A:F, 4, FALSE)</f>
        <v>0</v>
      </c>
      <c r="G131" s="2">
        <f>VLOOKUP(C131, Products!A:F, 5, FALSE)</f>
        <v>0</v>
      </c>
      <c r="H131" s="3">
        <f>VLOOKUP(C131, Products!A:F, 6, FALSE)</f>
        <v>0</v>
      </c>
      <c r="I131" s="2">
        <f>G131 * D131</f>
        <v>0</v>
      </c>
      <c r="J131" s="4">
        <f>VLOOKUP(D131, Volume_Discounts!A:C, 3, TRUE)</f>
        <v>0</v>
      </c>
      <c r="K131" s="2">
        <f>I131 * (1 - J131)</f>
        <v>0</v>
      </c>
      <c r="L131" s="3">
        <f>H131 * D131</f>
        <v>0</v>
      </c>
      <c r="M131" s="2">
        <f>VLOOKUP(E131, Shipping_Zones!A:C, 2, FALSE)</f>
        <v>0</v>
      </c>
      <c r="N131" s="2">
        <f>VLOOKUP(E131, Shipping_Zones!A:C, 3, FALSE)</f>
        <v>0</v>
      </c>
      <c r="O131" s="2">
        <f>M131 + (N131 * L131)</f>
        <v>0</v>
      </c>
      <c r="P131" s="2">
        <f>(F131 * D131) + O131</f>
        <v>0</v>
      </c>
      <c r="Q131" s="2">
        <f>K131 - P131</f>
        <v>0</v>
      </c>
    </row>
    <row r="132" spans="1:17">
      <c r="A132" t="s">
        <v>266</v>
      </c>
      <c r="B132" t="s">
        <v>549</v>
      </c>
      <c r="C132" t="s">
        <v>37</v>
      </c>
      <c r="D132">
        <v>58</v>
      </c>
      <c r="E132" t="s">
        <v>114</v>
      </c>
      <c r="F132" s="2">
        <f>VLOOKUP(C132, Products!A:F, 4, FALSE)</f>
        <v>0</v>
      </c>
      <c r="G132" s="2">
        <f>VLOOKUP(C132, Products!A:F, 5, FALSE)</f>
        <v>0</v>
      </c>
      <c r="H132" s="3">
        <f>VLOOKUP(C132, Products!A:F, 6, FALSE)</f>
        <v>0</v>
      </c>
      <c r="I132" s="2">
        <f>G132 * D132</f>
        <v>0</v>
      </c>
      <c r="J132" s="4">
        <f>VLOOKUP(D132, Volume_Discounts!A:C, 3, TRUE)</f>
        <v>0</v>
      </c>
      <c r="K132" s="2">
        <f>I132 * (1 - J132)</f>
        <v>0</v>
      </c>
      <c r="L132" s="3">
        <f>H132 * D132</f>
        <v>0</v>
      </c>
      <c r="M132" s="2">
        <f>VLOOKUP(E132, Shipping_Zones!A:C, 2, FALSE)</f>
        <v>0</v>
      </c>
      <c r="N132" s="2">
        <f>VLOOKUP(E132, Shipping_Zones!A:C, 3, FALSE)</f>
        <v>0</v>
      </c>
      <c r="O132" s="2">
        <f>M132 + (N132 * L132)</f>
        <v>0</v>
      </c>
      <c r="P132" s="2">
        <f>(F132 * D132) + O132</f>
        <v>0</v>
      </c>
      <c r="Q132" s="2">
        <f>K132 - P132</f>
        <v>0</v>
      </c>
    </row>
    <row r="133" spans="1:17">
      <c r="A133" t="s">
        <v>267</v>
      </c>
      <c r="B133" t="s">
        <v>550</v>
      </c>
      <c r="C133" t="s">
        <v>18</v>
      </c>
      <c r="D133">
        <v>19</v>
      </c>
      <c r="E133" t="s">
        <v>114</v>
      </c>
      <c r="F133" s="2">
        <f>VLOOKUP(C133, Products!A:F, 4, FALSE)</f>
        <v>0</v>
      </c>
      <c r="G133" s="2">
        <f>VLOOKUP(C133, Products!A:F, 5, FALSE)</f>
        <v>0</v>
      </c>
      <c r="H133" s="3">
        <f>VLOOKUP(C133, Products!A:F, 6, FALSE)</f>
        <v>0</v>
      </c>
      <c r="I133" s="2">
        <f>G133 * D133</f>
        <v>0</v>
      </c>
      <c r="J133" s="4">
        <f>VLOOKUP(D133, Volume_Discounts!A:C, 3, TRUE)</f>
        <v>0</v>
      </c>
      <c r="K133" s="2">
        <f>I133 * (1 - J133)</f>
        <v>0</v>
      </c>
      <c r="L133" s="3">
        <f>H133 * D133</f>
        <v>0</v>
      </c>
      <c r="M133" s="2">
        <f>VLOOKUP(E133, Shipping_Zones!A:C, 2, FALSE)</f>
        <v>0</v>
      </c>
      <c r="N133" s="2">
        <f>VLOOKUP(E133, Shipping_Zones!A:C, 3, FALSE)</f>
        <v>0</v>
      </c>
      <c r="O133" s="2">
        <f>M133 + (N133 * L133)</f>
        <v>0</v>
      </c>
      <c r="P133" s="2">
        <f>(F133 * D133) + O133</f>
        <v>0</v>
      </c>
      <c r="Q133" s="2">
        <f>K133 - P133</f>
        <v>0</v>
      </c>
    </row>
    <row r="134" spans="1:17">
      <c r="A134" t="s">
        <v>268</v>
      </c>
      <c r="B134" t="s">
        <v>551</v>
      </c>
      <c r="C134" t="s">
        <v>42</v>
      </c>
      <c r="D134">
        <v>112</v>
      </c>
      <c r="E134" t="s">
        <v>114</v>
      </c>
      <c r="F134" s="2">
        <f>VLOOKUP(C134, Products!A:F, 4, FALSE)</f>
        <v>0</v>
      </c>
      <c r="G134" s="2">
        <f>VLOOKUP(C134, Products!A:F, 5, FALSE)</f>
        <v>0</v>
      </c>
      <c r="H134" s="3">
        <f>VLOOKUP(C134, Products!A:F, 6, FALSE)</f>
        <v>0</v>
      </c>
      <c r="I134" s="2">
        <f>G134 * D134</f>
        <v>0</v>
      </c>
      <c r="J134" s="4">
        <f>VLOOKUP(D134, Volume_Discounts!A:C, 3, TRUE)</f>
        <v>0</v>
      </c>
      <c r="K134" s="2">
        <f>I134 * (1 - J134)</f>
        <v>0</v>
      </c>
      <c r="L134" s="3">
        <f>H134 * D134</f>
        <v>0</v>
      </c>
      <c r="M134" s="2">
        <f>VLOOKUP(E134, Shipping_Zones!A:C, 2, FALSE)</f>
        <v>0</v>
      </c>
      <c r="N134" s="2">
        <f>VLOOKUP(E134, Shipping_Zones!A:C, 3, FALSE)</f>
        <v>0</v>
      </c>
      <c r="O134" s="2">
        <f>M134 + (N134 * L134)</f>
        <v>0</v>
      </c>
      <c r="P134" s="2">
        <f>(F134 * D134) + O134</f>
        <v>0</v>
      </c>
      <c r="Q134" s="2">
        <f>K134 - P134</f>
        <v>0</v>
      </c>
    </row>
    <row r="135" spans="1:17">
      <c r="A135" t="s">
        <v>269</v>
      </c>
      <c r="B135" t="s">
        <v>455</v>
      </c>
      <c r="C135" t="s">
        <v>28</v>
      </c>
      <c r="D135">
        <v>33</v>
      </c>
      <c r="E135" t="s">
        <v>117</v>
      </c>
      <c r="F135" s="2">
        <f>VLOOKUP(C135, Products!A:F, 4, FALSE)</f>
        <v>0</v>
      </c>
      <c r="G135" s="2">
        <f>VLOOKUP(C135, Products!A:F, 5, FALSE)</f>
        <v>0</v>
      </c>
      <c r="H135" s="3">
        <f>VLOOKUP(C135, Products!A:F, 6, FALSE)</f>
        <v>0</v>
      </c>
      <c r="I135" s="2">
        <f>G135 * D135</f>
        <v>0</v>
      </c>
      <c r="J135" s="4">
        <f>VLOOKUP(D135, Volume_Discounts!A:C, 3, TRUE)</f>
        <v>0</v>
      </c>
      <c r="K135" s="2">
        <f>I135 * (1 - J135)</f>
        <v>0</v>
      </c>
      <c r="L135" s="3">
        <f>H135 * D135</f>
        <v>0</v>
      </c>
      <c r="M135" s="2">
        <f>VLOOKUP(E135, Shipping_Zones!A:C, 2, FALSE)</f>
        <v>0</v>
      </c>
      <c r="N135" s="2">
        <f>VLOOKUP(E135, Shipping_Zones!A:C, 3, FALSE)</f>
        <v>0</v>
      </c>
      <c r="O135" s="2">
        <f>M135 + (N135 * L135)</f>
        <v>0</v>
      </c>
      <c r="P135" s="2">
        <f>(F135 * D135) + O135</f>
        <v>0</v>
      </c>
      <c r="Q135" s="2">
        <f>K135 - P135</f>
        <v>0</v>
      </c>
    </row>
    <row r="136" spans="1:17">
      <c r="A136" t="s">
        <v>270</v>
      </c>
      <c r="B136" t="s">
        <v>552</v>
      </c>
      <c r="C136" t="s">
        <v>6</v>
      </c>
      <c r="D136">
        <v>77</v>
      </c>
      <c r="E136" t="s">
        <v>117</v>
      </c>
      <c r="F136" s="2">
        <f>VLOOKUP(C136, Products!A:F, 4, FALSE)</f>
        <v>0</v>
      </c>
      <c r="G136" s="2">
        <f>VLOOKUP(C136, Products!A:F, 5, FALSE)</f>
        <v>0</v>
      </c>
      <c r="H136" s="3">
        <f>VLOOKUP(C136, Products!A:F, 6, FALSE)</f>
        <v>0</v>
      </c>
      <c r="I136" s="2">
        <f>G136 * D136</f>
        <v>0</v>
      </c>
      <c r="J136" s="4">
        <f>VLOOKUP(D136, Volume_Discounts!A:C, 3, TRUE)</f>
        <v>0</v>
      </c>
      <c r="K136" s="2">
        <f>I136 * (1 - J136)</f>
        <v>0</v>
      </c>
      <c r="L136" s="3">
        <f>H136 * D136</f>
        <v>0</v>
      </c>
      <c r="M136" s="2">
        <f>VLOOKUP(E136, Shipping_Zones!A:C, 2, FALSE)</f>
        <v>0</v>
      </c>
      <c r="N136" s="2">
        <f>VLOOKUP(E136, Shipping_Zones!A:C, 3, FALSE)</f>
        <v>0</v>
      </c>
      <c r="O136" s="2">
        <f>M136 + (N136 * L136)</f>
        <v>0</v>
      </c>
      <c r="P136" s="2">
        <f>(F136 * D136) + O136</f>
        <v>0</v>
      </c>
      <c r="Q136" s="2">
        <f>K136 - P136</f>
        <v>0</v>
      </c>
    </row>
    <row r="137" spans="1:17">
      <c r="A137" t="s">
        <v>271</v>
      </c>
      <c r="B137" t="s">
        <v>553</v>
      </c>
      <c r="C137" t="s">
        <v>43</v>
      </c>
      <c r="D137">
        <v>73</v>
      </c>
      <c r="E137" t="s">
        <v>114</v>
      </c>
      <c r="F137" s="2">
        <f>VLOOKUP(C137, Products!A:F, 4, FALSE)</f>
        <v>0</v>
      </c>
      <c r="G137" s="2">
        <f>VLOOKUP(C137, Products!A:F, 5, FALSE)</f>
        <v>0</v>
      </c>
      <c r="H137" s="3">
        <f>VLOOKUP(C137, Products!A:F, 6, FALSE)</f>
        <v>0</v>
      </c>
      <c r="I137" s="2">
        <f>G137 * D137</f>
        <v>0</v>
      </c>
      <c r="J137" s="4">
        <f>VLOOKUP(D137, Volume_Discounts!A:C, 3, TRUE)</f>
        <v>0</v>
      </c>
      <c r="K137" s="2">
        <f>I137 * (1 - J137)</f>
        <v>0</v>
      </c>
      <c r="L137" s="3">
        <f>H137 * D137</f>
        <v>0</v>
      </c>
      <c r="M137" s="2">
        <f>VLOOKUP(E137, Shipping_Zones!A:C, 2, FALSE)</f>
        <v>0</v>
      </c>
      <c r="N137" s="2">
        <f>VLOOKUP(E137, Shipping_Zones!A:C, 3, FALSE)</f>
        <v>0</v>
      </c>
      <c r="O137" s="2">
        <f>M137 + (N137 * L137)</f>
        <v>0</v>
      </c>
      <c r="P137" s="2">
        <f>(F137 * D137) + O137</f>
        <v>0</v>
      </c>
      <c r="Q137" s="2">
        <f>K137 - P137</f>
        <v>0</v>
      </c>
    </row>
    <row r="138" spans="1:17">
      <c r="A138" t="s">
        <v>272</v>
      </c>
      <c r="B138" t="s">
        <v>554</v>
      </c>
      <c r="C138" t="s">
        <v>30</v>
      </c>
      <c r="D138">
        <v>80</v>
      </c>
      <c r="E138" t="s">
        <v>116</v>
      </c>
      <c r="F138" s="2">
        <f>VLOOKUP(C138, Products!A:F, 4, FALSE)</f>
        <v>0</v>
      </c>
      <c r="G138" s="2">
        <f>VLOOKUP(C138, Products!A:F, 5, FALSE)</f>
        <v>0</v>
      </c>
      <c r="H138" s="3">
        <f>VLOOKUP(C138, Products!A:F, 6, FALSE)</f>
        <v>0</v>
      </c>
      <c r="I138" s="2">
        <f>G138 * D138</f>
        <v>0</v>
      </c>
      <c r="J138" s="4">
        <f>VLOOKUP(D138, Volume_Discounts!A:C, 3, TRUE)</f>
        <v>0</v>
      </c>
      <c r="K138" s="2">
        <f>I138 * (1 - J138)</f>
        <v>0</v>
      </c>
      <c r="L138" s="3">
        <f>H138 * D138</f>
        <v>0</v>
      </c>
      <c r="M138" s="2">
        <f>VLOOKUP(E138, Shipping_Zones!A:C, 2, FALSE)</f>
        <v>0</v>
      </c>
      <c r="N138" s="2">
        <f>VLOOKUP(E138, Shipping_Zones!A:C, 3, FALSE)</f>
        <v>0</v>
      </c>
      <c r="O138" s="2">
        <f>M138 + (N138 * L138)</f>
        <v>0</v>
      </c>
      <c r="P138" s="2">
        <f>(F138 * D138) + O138</f>
        <v>0</v>
      </c>
      <c r="Q138" s="2">
        <f>K138 - P138</f>
        <v>0</v>
      </c>
    </row>
    <row r="139" spans="1:17">
      <c r="A139" t="s">
        <v>273</v>
      </c>
      <c r="B139" t="s">
        <v>555</v>
      </c>
      <c r="C139" t="s">
        <v>48</v>
      </c>
      <c r="D139">
        <v>111</v>
      </c>
      <c r="E139" t="s">
        <v>114</v>
      </c>
      <c r="F139" s="2">
        <f>VLOOKUP(C139, Products!A:F, 4, FALSE)</f>
        <v>0</v>
      </c>
      <c r="G139" s="2">
        <f>VLOOKUP(C139, Products!A:F, 5, FALSE)</f>
        <v>0</v>
      </c>
      <c r="H139" s="3">
        <f>VLOOKUP(C139, Products!A:F, 6, FALSE)</f>
        <v>0</v>
      </c>
      <c r="I139" s="2">
        <f>G139 * D139</f>
        <v>0</v>
      </c>
      <c r="J139" s="4">
        <f>VLOOKUP(D139, Volume_Discounts!A:C, 3, TRUE)</f>
        <v>0</v>
      </c>
      <c r="K139" s="2">
        <f>I139 * (1 - J139)</f>
        <v>0</v>
      </c>
      <c r="L139" s="3">
        <f>H139 * D139</f>
        <v>0</v>
      </c>
      <c r="M139" s="2">
        <f>VLOOKUP(E139, Shipping_Zones!A:C, 2, FALSE)</f>
        <v>0</v>
      </c>
      <c r="N139" s="2">
        <f>VLOOKUP(E139, Shipping_Zones!A:C, 3, FALSE)</f>
        <v>0</v>
      </c>
      <c r="O139" s="2">
        <f>M139 + (N139 * L139)</f>
        <v>0</v>
      </c>
      <c r="P139" s="2">
        <f>(F139 * D139) + O139</f>
        <v>0</v>
      </c>
      <c r="Q139" s="2">
        <f>K139 - P139</f>
        <v>0</v>
      </c>
    </row>
    <row r="140" spans="1:17">
      <c r="A140" t="s">
        <v>274</v>
      </c>
      <c r="B140" t="s">
        <v>481</v>
      </c>
      <c r="C140" t="s">
        <v>37</v>
      </c>
      <c r="D140">
        <v>106</v>
      </c>
      <c r="E140" t="s">
        <v>117</v>
      </c>
      <c r="F140" s="2">
        <f>VLOOKUP(C140, Products!A:F, 4, FALSE)</f>
        <v>0</v>
      </c>
      <c r="G140" s="2">
        <f>VLOOKUP(C140, Products!A:F, 5, FALSE)</f>
        <v>0</v>
      </c>
      <c r="H140" s="3">
        <f>VLOOKUP(C140, Products!A:F, 6, FALSE)</f>
        <v>0</v>
      </c>
      <c r="I140" s="2">
        <f>G140 * D140</f>
        <v>0</v>
      </c>
      <c r="J140" s="4">
        <f>VLOOKUP(D140, Volume_Discounts!A:C, 3, TRUE)</f>
        <v>0</v>
      </c>
      <c r="K140" s="2">
        <f>I140 * (1 - J140)</f>
        <v>0</v>
      </c>
      <c r="L140" s="3">
        <f>H140 * D140</f>
        <v>0</v>
      </c>
      <c r="M140" s="2">
        <f>VLOOKUP(E140, Shipping_Zones!A:C, 2, FALSE)</f>
        <v>0</v>
      </c>
      <c r="N140" s="2">
        <f>VLOOKUP(E140, Shipping_Zones!A:C, 3, FALSE)</f>
        <v>0</v>
      </c>
      <c r="O140" s="2">
        <f>M140 + (N140 * L140)</f>
        <v>0</v>
      </c>
      <c r="P140" s="2">
        <f>(F140 * D140) + O140</f>
        <v>0</v>
      </c>
      <c r="Q140" s="2">
        <f>K140 - P140</f>
        <v>0</v>
      </c>
    </row>
    <row r="141" spans="1:17">
      <c r="A141" t="s">
        <v>275</v>
      </c>
      <c r="B141" t="s">
        <v>551</v>
      </c>
      <c r="C141" t="s">
        <v>50</v>
      </c>
      <c r="D141">
        <v>85</v>
      </c>
      <c r="E141" t="s">
        <v>115</v>
      </c>
      <c r="F141" s="2">
        <f>VLOOKUP(C141, Products!A:F, 4, FALSE)</f>
        <v>0</v>
      </c>
      <c r="G141" s="2">
        <f>VLOOKUP(C141, Products!A:F, 5, FALSE)</f>
        <v>0</v>
      </c>
      <c r="H141" s="3">
        <f>VLOOKUP(C141, Products!A:F, 6, FALSE)</f>
        <v>0</v>
      </c>
      <c r="I141" s="2">
        <f>G141 * D141</f>
        <v>0</v>
      </c>
      <c r="J141" s="4">
        <f>VLOOKUP(D141, Volume_Discounts!A:C, 3, TRUE)</f>
        <v>0</v>
      </c>
      <c r="K141" s="2">
        <f>I141 * (1 - J141)</f>
        <v>0</v>
      </c>
      <c r="L141" s="3">
        <f>H141 * D141</f>
        <v>0</v>
      </c>
      <c r="M141" s="2">
        <f>VLOOKUP(E141, Shipping_Zones!A:C, 2, FALSE)</f>
        <v>0</v>
      </c>
      <c r="N141" s="2">
        <f>VLOOKUP(E141, Shipping_Zones!A:C, 3, FALSE)</f>
        <v>0</v>
      </c>
      <c r="O141" s="2">
        <f>M141 + (N141 * L141)</f>
        <v>0</v>
      </c>
      <c r="P141" s="2">
        <f>(F141 * D141) + O141</f>
        <v>0</v>
      </c>
      <c r="Q141" s="2">
        <f>K141 - P141</f>
        <v>0</v>
      </c>
    </row>
    <row r="142" spans="1:17">
      <c r="A142" t="s">
        <v>276</v>
      </c>
      <c r="B142" t="s">
        <v>556</v>
      </c>
      <c r="C142" t="s">
        <v>48</v>
      </c>
      <c r="D142">
        <v>95</v>
      </c>
      <c r="E142" t="s">
        <v>116</v>
      </c>
      <c r="F142" s="2">
        <f>VLOOKUP(C142, Products!A:F, 4, FALSE)</f>
        <v>0</v>
      </c>
      <c r="G142" s="2">
        <f>VLOOKUP(C142, Products!A:F, 5, FALSE)</f>
        <v>0</v>
      </c>
      <c r="H142" s="3">
        <f>VLOOKUP(C142, Products!A:F, 6, FALSE)</f>
        <v>0</v>
      </c>
      <c r="I142" s="2">
        <f>G142 * D142</f>
        <v>0</v>
      </c>
      <c r="J142" s="4">
        <f>VLOOKUP(D142, Volume_Discounts!A:C, 3, TRUE)</f>
        <v>0</v>
      </c>
      <c r="K142" s="2">
        <f>I142 * (1 - J142)</f>
        <v>0</v>
      </c>
      <c r="L142" s="3">
        <f>H142 * D142</f>
        <v>0</v>
      </c>
      <c r="M142" s="2">
        <f>VLOOKUP(E142, Shipping_Zones!A:C, 2, FALSE)</f>
        <v>0</v>
      </c>
      <c r="N142" s="2">
        <f>VLOOKUP(E142, Shipping_Zones!A:C, 3, FALSE)</f>
        <v>0</v>
      </c>
      <c r="O142" s="2">
        <f>M142 + (N142 * L142)</f>
        <v>0</v>
      </c>
      <c r="P142" s="2">
        <f>(F142 * D142) + O142</f>
        <v>0</v>
      </c>
      <c r="Q142" s="2">
        <f>K142 - P142</f>
        <v>0</v>
      </c>
    </row>
    <row r="143" spans="1:17">
      <c r="A143" t="s">
        <v>277</v>
      </c>
      <c r="B143" t="s">
        <v>557</v>
      </c>
      <c r="C143" t="s">
        <v>10</v>
      </c>
      <c r="D143">
        <v>27</v>
      </c>
      <c r="E143" t="s">
        <v>117</v>
      </c>
      <c r="F143" s="2">
        <f>VLOOKUP(C143, Products!A:F, 4, FALSE)</f>
        <v>0</v>
      </c>
      <c r="G143" s="2">
        <f>VLOOKUP(C143, Products!A:F, 5, FALSE)</f>
        <v>0</v>
      </c>
      <c r="H143" s="3">
        <f>VLOOKUP(C143, Products!A:F, 6, FALSE)</f>
        <v>0</v>
      </c>
      <c r="I143" s="2">
        <f>G143 * D143</f>
        <v>0</v>
      </c>
      <c r="J143" s="4">
        <f>VLOOKUP(D143, Volume_Discounts!A:C, 3, TRUE)</f>
        <v>0</v>
      </c>
      <c r="K143" s="2">
        <f>I143 * (1 - J143)</f>
        <v>0</v>
      </c>
      <c r="L143" s="3">
        <f>H143 * D143</f>
        <v>0</v>
      </c>
      <c r="M143" s="2">
        <f>VLOOKUP(E143, Shipping_Zones!A:C, 2, FALSE)</f>
        <v>0</v>
      </c>
      <c r="N143" s="2">
        <f>VLOOKUP(E143, Shipping_Zones!A:C, 3, FALSE)</f>
        <v>0</v>
      </c>
      <c r="O143" s="2">
        <f>M143 + (N143 * L143)</f>
        <v>0</v>
      </c>
      <c r="P143" s="2">
        <f>(F143 * D143) + O143</f>
        <v>0</v>
      </c>
      <c r="Q143" s="2">
        <f>K143 - P143</f>
        <v>0</v>
      </c>
    </row>
    <row r="144" spans="1:17">
      <c r="A144" t="s">
        <v>278</v>
      </c>
      <c r="B144" t="s">
        <v>438</v>
      </c>
      <c r="C144" t="s">
        <v>35</v>
      </c>
      <c r="D144">
        <v>56</v>
      </c>
      <c r="E144" t="s">
        <v>114</v>
      </c>
      <c r="F144" s="2">
        <f>VLOOKUP(C144, Products!A:F, 4, FALSE)</f>
        <v>0</v>
      </c>
      <c r="G144" s="2">
        <f>VLOOKUP(C144, Products!A:F, 5, FALSE)</f>
        <v>0</v>
      </c>
      <c r="H144" s="3">
        <f>VLOOKUP(C144, Products!A:F, 6, FALSE)</f>
        <v>0</v>
      </c>
      <c r="I144" s="2">
        <f>G144 * D144</f>
        <v>0</v>
      </c>
      <c r="J144" s="4">
        <f>VLOOKUP(D144, Volume_Discounts!A:C, 3, TRUE)</f>
        <v>0</v>
      </c>
      <c r="K144" s="2">
        <f>I144 * (1 - J144)</f>
        <v>0</v>
      </c>
      <c r="L144" s="3">
        <f>H144 * D144</f>
        <v>0</v>
      </c>
      <c r="M144" s="2">
        <f>VLOOKUP(E144, Shipping_Zones!A:C, 2, FALSE)</f>
        <v>0</v>
      </c>
      <c r="N144" s="2">
        <f>VLOOKUP(E144, Shipping_Zones!A:C, 3, FALSE)</f>
        <v>0</v>
      </c>
      <c r="O144" s="2">
        <f>M144 + (N144 * L144)</f>
        <v>0</v>
      </c>
      <c r="P144" s="2">
        <f>(F144 * D144) + O144</f>
        <v>0</v>
      </c>
      <c r="Q144" s="2">
        <f>K144 - P144</f>
        <v>0</v>
      </c>
    </row>
    <row r="145" spans="1:17">
      <c r="A145" t="s">
        <v>279</v>
      </c>
      <c r="B145" t="s">
        <v>558</v>
      </c>
      <c r="C145" t="s">
        <v>36</v>
      </c>
      <c r="D145">
        <v>103</v>
      </c>
      <c r="E145" t="s">
        <v>115</v>
      </c>
      <c r="F145" s="2">
        <f>VLOOKUP(C145, Products!A:F, 4, FALSE)</f>
        <v>0</v>
      </c>
      <c r="G145" s="2">
        <f>VLOOKUP(C145, Products!A:F, 5, FALSE)</f>
        <v>0</v>
      </c>
      <c r="H145" s="3">
        <f>VLOOKUP(C145, Products!A:F, 6, FALSE)</f>
        <v>0</v>
      </c>
      <c r="I145" s="2">
        <f>G145 * D145</f>
        <v>0</v>
      </c>
      <c r="J145" s="4">
        <f>VLOOKUP(D145, Volume_Discounts!A:C, 3, TRUE)</f>
        <v>0</v>
      </c>
      <c r="K145" s="2">
        <f>I145 * (1 - J145)</f>
        <v>0</v>
      </c>
      <c r="L145" s="3">
        <f>H145 * D145</f>
        <v>0</v>
      </c>
      <c r="M145" s="2">
        <f>VLOOKUP(E145, Shipping_Zones!A:C, 2, FALSE)</f>
        <v>0</v>
      </c>
      <c r="N145" s="2">
        <f>VLOOKUP(E145, Shipping_Zones!A:C, 3, FALSE)</f>
        <v>0</v>
      </c>
      <c r="O145" s="2">
        <f>M145 + (N145 * L145)</f>
        <v>0</v>
      </c>
      <c r="P145" s="2">
        <f>(F145 * D145) + O145</f>
        <v>0</v>
      </c>
      <c r="Q145" s="2">
        <f>K145 - P145</f>
        <v>0</v>
      </c>
    </row>
    <row r="146" spans="1:17">
      <c r="A146" t="s">
        <v>280</v>
      </c>
      <c r="B146" t="s">
        <v>441</v>
      </c>
      <c r="C146" t="s">
        <v>25</v>
      </c>
      <c r="D146">
        <v>42</v>
      </c>
      <c r="E146" t="s">
        <v>117</v>
      </c>
      <c r="F146" s="2">
        <f>VLOOKUP(C146, Products!A:F, 4, FALSE)</f>
        <v>0</v>
      </c>
      <c r="G146" s="2">
        <f>VLOOKUP(C146, Products!A:F, 5, FALSE)</f>
        <v>0</v>
      </c>
      <c r="H146" s="3">
        <f>VLOOKUP(C146, Products!A:F, 6, FALSE)</f>
        <v>0</v>
      </c>
      <c r="I146" s="2">
        <f>G146 * D146</f>
        <v>0</v>
      </c>
      <c r="J146" s="4">
        <f>VLOOKUP(D146, Volume_Discounts!A:C, 3, TRUE)</f>
        <v>0</v>
      </c>
      <c r="K146" s="2">
        <f>I146 * (1 - J146)</f>
        <v>0</v>
      </c>
      <c r="L146" s="3">
        <f>H146 * D146</f>
        <v>0</v>
      </c>
      <c r="M146" s="2">
        <f>VLOOKUP(E146, Shipping_Zones!A:C, 2, FALSE)</f>
        <v>0</v>
      </c>
      <c r="N146" s="2">
        <f>VLOOKUP(E146, Shipping_Zones!A:C, 3, FALSE)</f>
        <v>0</v>
      </c>
      <c r="O146" s="2">
        <f>M146 + (N146 * L146)</f>
        <v>0</v>
      </c>
      <c r="P146" s="2">
        <f>(F146 * D146) + O146</f>
        <v>0</v>
      </c>
      <c r="Q146" s="2">
        <f>K146 - P146</f>
        <v>0</v>
      </c>
    </row>
    <row r="147" spans="1:17">
      <c r="A147" t="s">
        <v>281</v>
      </c>
      <c r="B147" t="s">
        <v>559</v>
      </c>
      <c r="C147" t="s">
        <v>14</v>
      </c>
      <c r="D147">
        <v>22</v>
      </c>
      <c r="E147" t="s">
        <v>117</v>
      </c>
      <c r="F147" s="2">
        <f>VLOOKUP(C147, Products!A:F, 4, FALSE)</f>
        <v>0</v>
      </c>
      <c r="G147" s="2">
        <f>VLOOKUP(C147, Products!A:F, 5, FALSE)</f>
        <v>0</v>
      </c>
      <c r="H147" s="3">
        <f>VLOOKUP(C147, Products!A:F, 6, FALSE)</f>
        <v>0</v>
      </c>
      <c r="I147" s="2">
        <f>G147 * D147</f>
        <v>0</v>
      </c>
      <c r="J147" s="4">
        <f>VLOOKUP(D147, Volume_Discounts!A:C, 3, TRUE)</f>
        <v>0</v>
      </c>
      <c r="K147" s="2">
        <f>I147 * (1 - J147)</f>
        <v>0</v>
      </c>
      <c r="L147" s="3">
        <f>H147 * D147</f>
        <v>0</v>
      </c>
      <c r="M147" s="2">
        <f>VLOOKUP(E147, Shipping_Zones!A:C, 2, FALSE)</f>
        <v>0</v>
      </c>
      <c r="N147" s="2">
        <f>VLOOKUP(E147, Shipping_Zones!A:C, 3, FALSE)</f>
        <v>0</v>
      </c>
      <c r="O147" s="2">
        <f>M147 + (N147 * L147)</f>
        <v>0</v>
      </c>
      <c r="P147" s="2">
        <f>(F147 * D147) + O147</f>
        <v>0</v>
      </c>
      <c r="Q147" s="2">
        <f>K147 - P147</f>
        <v>0</v>
      </c>
    </row>
    <row r="148" spans="1:17">
      <c r="A148" t="s">
        <v>282</v>
      </c>
      <c r="B148" t="s">
        <v>560</v>
      </c>
      <c r="C148" t="s">
        <v>23</v>
      </c>
      <c r="D148">
        <v>28</v>
      </c>
      <c r="E148" t="s">
        <v>117</v>
      </c>
      <c r="F148" s="2">
        <f>VLOOKUP(C148, Products!A:F, 4, FALSE)</f>
        <v>0</v>
      </c>
      <c r="G148" s="2">
        <f>VLOOKUP(C148, Products!A:F, 5, FALSE)</f>
        <v>0</v>
      </c>
      <c r="H148" s="3">
        <f>VLOOKUP(C148, Products!A:F, 6, FALSE)</f>
        <v>0</v>
      </c>
      <c r="I148" s="2">
        <f>G148 * D148</f>
        <v>0</v>
      </c>
      <c r="J148" s="4">
        <f>VLOOKUP(D148, Volume_Discounts!A:C, 3, TRUE)</f>
        <v>0</v>
      </c>
      <c r="K148" s="2">
        <f>I148 * (1 - J148)</f>
        <v>0</v>
      </c>
      <c r="L148" s="3">
        <f>H148 * D148</f>
        <v>0</v>
      </c>
      <c r="M148" s="2">
        <f>VLOOKUP(E148, Shipping_Zones!A:C, 2, FALSE)</f>
        <v>0</v>
      </c>
      <c r="N148" s="2">
        <f>VLOOKUP(E148, Shipping_Zones!A:C, 3, FALSE)</f>
        <v>0</v>
      </c>
      <c r="O148" s="2">
        <f>M148 + (N148 * L148)</f>
        <v>0</v>
      </c>
      <c r="P148" s="2">
        <f>(F148 * D148) + O148</f>
        <v>0</v>
      </c>
      <c r="Q148" s="2">
        <f>K148 - P148</f>
        <v>0</v>
      </c>
    </row>
    <row r="149" spans="1:17">
      <c r="A149" t="s">
        <v>283</v>
      </c>
      <c r="B149" t="s">
        <v>561</v>
      </c>
      <c r="C149" t="s">
        <v>25</v>
      </c>
      <c r="D149">
        <v>55</v>
      </c>
      <c r="E149" t="s">
        <v>115</v>
      </c>
      <c r="F149" s="2">
        <f>VLOOKUP(C149, Products!A:F, 4, FALSE)</f>
        <v>0</v>
      </c>
      <c r="G149" s="2">
        <f>VLOOKUP(C149, Products!A:F, 5, FALSE)</f>
        <v>0</v>
      </c>
      <c r="H149" s="3">
        <f>VLOOKUP(C149, Products!A:F, 6, FALSE)</f>
        <v>0</v>
      </c>
      <c r="I149" s="2">
        <f>G149 * D149</f>
        <v>0</v>
      </c>
      <c r="J149" s="4">
        <f>VLOOKUP(D149, Volume_Discounts!A:C, 3, TRUE)</f>
        <v>0</v>
      </c>
      <c r="K149" s="2">
        <f>I149 * (1 - J149)</f>
        <v>0</v>
      </c>
      <c r="L149" s="3">
        <f>H149 * D149</f>
        <v>0</v>
      </c>
      <c r="M149" s="2">
        <f>VLOOKUP(E149, Shipping_Zones!A:C, 2, FALSE)</f>
        <v>0</v>
      </c>
      <c r="N149" s="2">
        <f>VLOOKUP(E149, Shipping_Zones!A:C, 3, FALSE)</f>
        <v>0</v>
      </c>
      <c r="O149" s="2">
        <f>M149 + (N149 * L149)</f>
        <v>0</v>
      </c>
      <c r="P149" s="2">
        <f>(F149 * D149) + O149</f>
        <v>0</v>
      </c>
      <c r="Q149" s="2">
        <f>K149 - P149</f>
        <v>0</v>
      </c>
    </row>
    <row r="150" spans="1:17">
      <c r="A150" t="s">
        <v>284</v>
      </c>
      <c r="B150" t="s">
        <v>506</v>
      </c>
      <c r="C150" t="s">
        <v>21</v>
      </c>
      <c r="D150">
        <v>17</v>
      </c>
      <c r="E150" t="s">
        <v>117</v>
      </c>
      <c r="F150" s="2">
        <f>VLOOKUP(C150, Products!A:F, 4, FALSE)</f>
        <v>0</v>
      </c>
      <c r="G150" s="2">
        <f>VLOOKUP(C150, Products!A:F, 5, FALSE)</f>
        <v>0</v>
      </c>
      <c r="H150" s="3">
        <f>VLOOKUP(C150, Products!A:F, 6, FALSE)</f>
        <v>0</v>
      </c>
      <c r="I150" s="2">
        <f>G150 * D150</f>
        <v>0</v>
      </c>
      <c r="J150" s="4">
        <f>VLOOKUP(D150, Volume_Discounts!A:C, 3, TRUE)</f>
        <v>0</v>
      </c>
      <c r="K150" s="2">
        <f>I150 * (1 - J150)</f>
        <v>0</v>
      </c>
      <c r="L150" s="3">
        <f>H150 * D150</f>
        <v>0</v>
      </c>
      <c r="M150" s="2">
        <f>VLOOKUP(E150, Shipping_Zones!A:C, 2, FALSE)</f>
        <v>0</v>
      </c>
      <c r="N150" s="2">
        <f>VLOOKUP(E150, Shipping_Zones!A:C, 3, FALSE)</f>
        <v>0</v>
      </c>
      <c r="O150" s="2">
        <f>M150 + (N150 * L150)</f>
        <v>0</v>
      </c>
      <c r="P150" s="2">
        <f>(F150 * D150) + O150</f>
        <v>0</v>
      </c>
      <c r="Q150" s="2">
        <f>K150 - P150</f>
        <v>0</v>
      </c>
    </row>
    <row r="151" spans="1:17">
      <c r="A151" t="s">
        <v>285</v>
      </c>
      <c r="B151" t="s">
        <v>562</v>
      </c>
      <c r="C151" t="s">
        <v>26</v>
      </c>
      <c r="D151">
        <v>28</v>
      </c>
      <c r="E151" t="s">
        <v>116</v>
      </c>
      <c r="F151" s="2">
        <f>VLOOKUP(C151, Products!A:F, 4, FALSE)</f>
        <v>0</v>
      </c>
      <c r="G151" s="2">
        <f>VLOOKUP(C151, Products!A:F, 5, FALSE)</f>
        <v>0</v>
      </c>
      <c r="H151" s="3">
        <f>VLOOKUP(C151, Products!A:F, 6, FALSE)</f>
        <v>0</v>
      </c>
      <c r="I151" s="2">
        <f>G151 * D151</f>
        <v>0</v>
      </c>
      <c r="J151" s="4">
        <f>VLOOKUP(D151, Volume_Discounts!A:C, 3, TRUE)</f>
        <v>0</v>
      </c>
      <c r="K151" s="2">
        <f>I151 * (1 - J151)</f>
        <v>0</v>
      </c>
      <c r="L151" s="3">
        <f>H151 * D151</f>
        <v>0</v>
      </c>
      <c r="M151" s="2">
        <f>VLOOKUP(E151, Shipping_Zones!A:C, 2, FALSE)</f>
        <v>0</v>
      </c>
      <c r="N151" s="2">
        <f>VLOOKUP(E151, Shipping_Zones!A:C, 3, FALSE)</f>
        <v>0</v>
      </c>
      <c r="O151" s="2">
        <f>M151 + (N151 * L151)</f>
        <v>0</v>
      </c>
      <c r="P151" s="2">
        <f>(F151 * D151) + O151</f>
        <v>0</v>
      </c>
      <c r="Q151" s="2">
        <f>K151 - P151</f>
        <v>0</v>
      </c>
    </row>
    <row r="152" spans="1:17">
      <c r="A152" t="s">
        <v>286</v>
      </c>
      <c r="B152" t="s">
        <v>563</v>
      </c>
      <c r="C152" t="s">
        <v>7</v>
      </c>
      <c r="D152">
        <v>46</v>
      </c>
      <c r="E152" t="s">
        <v>117</v>
      </c>
      <c r="F152" s="2">
        <f>VLOOKUP(C152, Products!A:F, 4, FALSE)</f>
        <v>0</v>
      </c>
      <c r="G152" s="2">
        <f>VLOOKUP(C152, Products!A:F, 5, FALSE)</f>
        <v>0</v>
      </c>
      <c r="H152" s="3">
        <f>VLOOKUP(C152, Products!A:F, 6, FALSE)</f>
        <v>0</v>
      </c>
      <c r="I152" s="2">
        <f>G152 * D152</f>
        <v>0</v>
      </c>
      <c r="J152" s="4">
        <f>VLOOKUP(D152, Volume_Discounts!A:C, 3, TRUE)</f>
        <v>0</v>
      </c>
      <c r="K152" s="2">
        <f>I152 * (1 - J152)</f>
        <v>0</v>
      </c>
      <c r="L152" s="3">
        <f>H152 * D152</f>
        <v>0</v>
      </c>
      <c r="M152" s="2">
        <f>VLOOKUP(E152, Shipping_Zones!A:C, 2, FALSE)</f>
        <v>0</v>
      </c>
      <c r="N152" s="2">
        <f>VLOOKUP(E152, Shipping_Zones!A:C, 3, FALSE)</f>
        <v>0</v>
      </c>
      <c r="O152" s="2">
        <f>M152 + (N152 * L152)</f>
        <v>0</v>
      </c>
      <c r="P152" s="2">
        <f>(F152 * D152) + O152</f>
        <v>0</v>
      </c>
      <c r="Q152" s="2">
        <f>K152 - P152</f>
        <v>0</v>
      </c>
    </row>
    <row r="153" spans="1:17">
      <c r="A153" t="s">
        <v>287</v>
      </c>
      <c r="B153" t="s">
        <v>564</v>
      </c>
      <c r="C153" t="s">
        <v>33</v>
      </c>
      <c r="D153">
        <v>67</v>
      </c>
      <c r="E153" t="s">
        <v>114</v>
      </c>
      <c r="F153" s="2">
        <f>VLOOKUP(C153, Products!A:F, 4, FALSE)</f>
        <v>0</v>
      </c>
      <c r="G153" s="2">
        <f>VLOOKUP(C153, Products!A:F, 5, FALSE)</f>
        <v>0</v>
      </c>
      <c r="H153" s="3">
        <f>VLOOKUP(C153, Products!A:F, 6, FALSE)</f>
        <v>0</v>
      </c>
      <c r="I153" s="2">
        <f>G153 * D153</f>
        <v>0</v>
      </c>
      <c r="J153" s="4">
        <f>VLOOKUP(D153, Volume_Discounts!A:C, 3, TRUE)</f>
        <v>0</v>
      </c>
      <c r="K153" s="2">
        <f>I153 * (1 - J153)</f>
        <v>0</v>
      </c>
      <c r="L153" s="3">
        <f>H153 * D153</f>
        <v>0</v>
      </c>
      <c r="M153" s="2">
        <f>VLOOKUP(E153, Shipping_Zones!A:C, 2, FALSE)</f>
        <v>0</v>
      </c>
      <c r="N153" s="2">
        <f>VLOOKUP(E153, Shipping_Zones!A:C, 3, FALSE)</f>
        <v>0</v>
      </c>
      <c r="O153" s="2">
        <f>M153 + (N153 * L153)</f>
        <v>0</v>
      </c>
      <c r="P153" s="2">
        <f>(F153 * D153) + O153</f>
        <v>0</v>
      </c>
      <c r="Q153" s="2">
        <f>K153 - P153</f>
        <v>0</v>
      </c>
    </row>
    <row r="154" spans="1:17">
      <c r="A154" t="s">
        <v>288</v>
      </c>
      <c r="B154" t="s">
        <v>565</v>
      </c>
      <c r="C154" t="s">
        <v>37</v>
      </c>
      <c r="D154">
        <v>28</v>
      </c>
      <c r="E154" t="s">
        <v>114</v>
      </c>
      <c r="F154" s="2">
        <f>VLOOKUP(C154, Products!A:F, 4, FALSE)</f>
        <v>0</v>
      </c>
      <c r="G154" s="2">
        <f>VLOOKUP(C154, Products!A:F, 5, FALSE)</f>
        <v>0</v>
      </c>
      <c r="H154" s="3">
        <f>VLOOKUP(C154, Products!A:F, 6, FALSE)</f>
        <v>0</v>
      </c>
      <c r="I154" s="2">
        <f>G154 * D154</f>
        <v>0</v>
      </c>
      <c r="J154" s="4">
        <f>VLOOKUP(D154, Volume_Discounts!A:C, 3, TRUE)</f>
        <v>0</v>
      </c>
      <c r="K154" s="2">
        <f>I154 * (1 - J154)</f>
        <v>0</v>
      </c>
      <c r="L154" s="3">
        <f>H154 * D154</f>
        <v>0</v>
      </c>
      <c r="M154" s="2">
        <f>VLOOKUP(E154, Shipping_Zones!A:C, 2, FALSE)</f>
        <v>0</v>
      </c>
      <c r="N154" s="2">
        <f>VLOOKUP(E154, Shipping_Zones!A:C, 3, FALSE)</f>
        <v>0</v>
      </c>
      <c r="O154" s="2">
        <f>M154 + (N154 * L154)</f>
        <v>0</v>
      </c>
      <c r="P154" s="2">
        <f>(F154 * D154) + O154</f>
        <v>0</v>
      </c>
      <c r="Q154" s="2">
        <f>K154 - P154</f>
        <v>0</v>
      </c>
    </row>
    <row r="155" spans="1:17">
      <c r="A155" t="s">
        <v>289</v>
      </c>
      <c r="B155" t="s">
        <v>566</v>
      </c>
      <c r="C155" t="s">
        <v>10</v>
      </c>
      <c r="D155">
        <v>101</v>
      </c>
      <c r="E155" t="s">
        <v>115</v>
      </c>
      <c r="F155" s="2">
        <f>VLOOKUP(C155, Products!A:F, 4, FALSE)</f>
        <v>0</v>
      </c>
      <c r="G155" s="2">
        <f>VLOOKUP(C155, Products!A:F, 5, FALSE)</f>
        <v>0</v>
      </c>
      <c r="H155" s="3">
        <f>VLOOKUP(C155, Products!A:F, 6, FALSE)</f>
        <v>0</v>
      </c>
      <c r="I155" s="2">
        <f>G155 * D155</f>
        <v>0</v>
      </c>
      <c r="J155" s="4">
        <f>VLOOKUP(D155, Volume_Discounts!A:C, 3, TRUE)</f>
        <v>0</v>
      </c>
      <c r="K155" s="2">
        <f>I155 * (1 - J155)</f>
        <v>0</v>
      </c>
      <c r="L155" s="3">
        <f>H155 * D155</f>
        <v>0</v>
      </c>
      <c r="M155" s="2">
        <f>VLOOKUP(E155, Shipping_Zones!A:C, 2, FALSE)</f>
        <v>0</v>
      </c>
      <c r="N155" s="2">
        <f>VLOOKUP(E155, Shipping_Zones!A:C, 3, FALSE)</f>
        <v>0</v>
      </c>
      <c r="O155" s="2">
        <f>M155 + (N155 * L155)</f>
        <v>0</v>
      </c>
      <c r="P155" s="2">
        <f>(F155 * D155) + O155</f>
        <v>0</v>
      </c>
      <c r="Q155" s="2">
        <f>K155 - P155</f>
        <v>0</v>
      </c>
    </row>
    <row r="156" spans="1:17">
      <c r="A156" t="s">
        <v>290</v>
      </c>
      <c r="B156" t="s">
        <v>465</v>
      </c>
      <c r="C156" t="s">
        <v>47</v>
      </c>
      <c r="D156">
        <v>10</v>
      </c>
      <c r="E156" t="s">
        <v>115</v>
      </c>
      <c r="F156" s="2">
        <f>VLOOKUP(C156, Products!A:F, 4, FALSE)</f>
        <v>0</v>
      </c>
      <c r="G156" s="2">
        <f>VLOOKUP(C156, Products!A:F, 5, FALSE)</f>
        <v>0</v>
      </c>
      <c r="H156" s="3">
        <f>VLOOKUP(C156, Products!A:F, 6, FALSE)</f>
        <v>0</v>
      </c>
      <c r="I156" s="2">
        <f>G156 * D156</f>
        <v>0</v>
      </c>
      <c r="J156" s="4">
        <f>VLOOKUP(D156, Volume_Discounts!A:C, 3, TRUE)</f>
        <v>0</v>
      </c>
      <c r="K156" s="2">
        <f>I156 * (1 - J156)</f>
        <v>0</v>
      </c>
      <c r="L156" s="3">
        <f>H156 * D156</f>
        <v>0</v>
      </c>
      <c r="M156" s="2">
        <f>VLOOKUP(E156, Shipping_Zones!A:C, 2, FALSE)</f>
        <v>0</v>
      </c>
      <c r="N156" s="2">
        <f>VLOOKUP(E156, Shipping_Zones!A:C, 3, FALSE)</f>
        <v>0</v>
      </c>
      <c r="O156" s="2">
        <f>M156 + (N156 * L156)</f>
        <v>0</v>
      </c>
      <c r="P156" s="2">
        <f>(F156 * D156) + O156</f>
        <v>0</v>
      </c>
      <c r="Q156" s="2">
        <f>K156 - P156</f>
        <v>0</v>
      </c>
    </row>
    <row r="157" spans="1:17">
      <c r="A157" t="s">
        <v>291</v>
      </c>
      <c r="B157" t="s">
        <v>522</v>
      </c>
      <c r="C157" t="s">
        <v>27</v>
      </c>
      <c r="D157">
        <v>26</v>
      </c>
      <c r="E157" t="s">
        <v>115</v>
      </c>
      <c r="F157" s="2">
        <f>VLOOKUP(C157, Products!A:F, 4, FALSE)</f>
        <v>0</v>
      </c>
      <c r="G157" s="2">
        <f>VLOOKUP(C157, Products!A:F, 5, FALSE)</f>
        <v>0</v>
      </c>
      <c r="H157" s="3">
        <f>VLOOKUP(C157, Products!A:F, 6, FALSE)</f>
        <v>0</v>
      </c>
      <c r="I157" s="2">
        <f>G157 * D157</f>
        <v>0</v>
      </c>
      <c r="J157" s="4">
        <f>VLOOKUP(D157, Volume_Discounts!A:C, 3, TRUE)</f>
        <v>0</v>
      </c>
      <c r="K157" s="2">
        <f>I157 * (1 - J157)</f>
        <v>0</v>
      </c>
      <c r="L157" s="3">
        <f>H157 * D157</f>
        <v>0</v>
      </c>
      <c r="M157" s="2">
        <f>VLOOKUP(E157, Shipping_Zones!A:C, 2, FALSE)</f>
        <v>0</v>
      </c>
      <c r="N157" s="2">
        <f>VLOOKUP(E157, Shipping_Zones!A:C, 3, FALSE)</f>
        <v>0</v>
      </c>
      <c r="O157" s="2">
        <f>M157 + (N157 * L157)</f>
        <v>0</v>
      </c>
      <c r="P157" s="2">
        <f>(F157 * D157) + O157</f>
        <v>0</v>
      </c>
      <c r="Q157" s="2">
        <f>K157 - P157</f>
        <v>0</v>
      </c>
    </row>
    <row r="158" spans="1:17">
      <c r="A158" t="s">
        <v>292</v>
      </c>
      <c r="B158" t="s">
        <v>567</v>
      </c>
      <c r="C158" t="s">
        <v>20</v>
      </c>
      <c r="D158">
        <v>103</v>
      </c>
      <c r="E158" t="s">
        <v>115</v>
      </c>
      <c r="F158" s="2">
        <f>VLOOKUP(C158, Products!A:F, 4, FALSE)</f>
        <v>0</v>
      </c>
      <c r="G158" s="2">
        <f>VLOOKUP(C158, Products!A:F, 5, FALSE)</f>
        <v>0</v>
      </c>
      <c r="H158" s="3">
        <f>VLOOKUP(C158, Products!A:F, 6, FALSE)</f>
        <v>0</v>
      </c>
      <c r="I158" s="2">
        <f>G158 * D158</f>
        <v>0</v>
      </c>
      <c r="J158" s="4">
        <f>VLOOKUP(D158, Volume_Discounts!A:C, 3, TRUE)</f>
        <v>0</v>
      </c>
      <c r="K158" s="2">
        <f>I158 * (1 - J158)</f>
        <v>0</v>
      </c>
      <c r="L158" s="3">
        <f>H158 * D158</f>
        <v>0</v>
      </c>
      <c r="M158" s="2">
        <f>VLOOKUP(E158, Shipping_Zones!A:C, 2, FALSE)</f>
        <v>0</v>
      </c>
      <c r="N158" s="2">
        <f>VLOOKUP(E158, Shipping_Zones!A:C, 3, FALSE)</f>
        <v>0</v>
      </c>
      <c r="O158" s="2">
        <f>M158 + (N158 * L158)</f>
        <v>0</v>
      </c>
      <c r="P158" s="2">
        <f>(F158 * D158) + O158</f>
        <v>0</v>
      </c>
      <c r="Q158" s="2">
        <f>K158 - P158</f>
        <v>0</v>
      </c>
    </row>
    <row r="159" spans="1:17">
      <c r="A159" t="s">
        <v>293</v>
      </c>
      <c r="B159" t="s">
        <v>568</v>
      </c>
      <c r="C159" t="s">
        <v>41</v>
      </c>
      <c r="D159">
        <v>22</v>
      </c>
      <c r="E159" t="s">
        <v>117</v>
      </c>
      <c r="F159" s="2">
        <f>VLOOKUP(C159, Products!A:F, 4, FALSE)</f>
        <v>0</v>
      </c>
      <c r="G159" s="2">
        <f>VLOOKUP(C159, Products!A:F, 5, FALSE)</f>
        <v>0</v>
      </c>
      <c r="H159" s="3">
        <f>VLOOKUP(C159, Products!A:F, 6, FALSE)</f>
        <v>0</v>
      </c>
      <c r="I159" s="2">
        <f>G159 * D159</f>
        <v>0</v>
      </c>
      <c r="J159" s="4">
        <f>VLOOKUP(D159, Volume_Discounts!A:C, 3, TRUE)</f>
        <v>0</v>
      </c>
      <c r="K159" s="2">
        <f>I159 * (1 - J159)</f>
        <v>0</v>
      </c>
      <c r="L159" s="3">
        <f>H159 * D159</f>
        <v>0</v>
      </c>
      <c r="M159" s="2">
        <f>VLOOKUP(E159, Shipping_Zones!A:C, 2, FALSE)</f>
        <v>0</v>
      </c>
      <c r="N159" s="2">
        <f>VLOOKUP(E159, Shipping_Zones!A:C, 3, FALSE)</f>
        <v>0</v>
      </c>
      <c r="O159" s="2">
        <f>M159 + (N159 * L159)</f>
        <v>0</v>
      </c>
      <c r="P159" s="2">
        <f>(F159 * D159) + O159</f>
        <v>0</v>
      </c>
      <c r="Q159" s="2">
        <f>K159 - P159</f>
        <v>0</v>
      </c>
    </row>
    <row r="160" spans="1:17">
      <c r="A160" t="s">
        <v>294</v>
      </c>
      <c r="B160" t="s">
        <v>479</v>
      </c>
      <c r="C160" t="s">
        <v>46</v>
      </c>
      <c r="D160">
        <v>59</v>
      </c>
      <c r="E160" t="s">
        <v>115</v>
      </c>
      <c r="F160" s="2">
        <f>VLOOKUP(C160, Products!A:F, 4, FALSE)</f>
        <v>0</v>
      </c>
      <c r="G160" s="2">
        <f>VLOOKUP(C160, Products!A:F, 5, FALSE)</f>
        <v>0</v>
      </c>
      <c r="H160" s="3">
        <f>VLOOKUP(C160, Products!A:F, 6, FALSE)</f>
        <v>0</v>
      </c>
      <c r="I160" s="2">
        <f>G160 * D160</f>
        <v>0</v>
      </c>
      <c r="J160" s="4">
        <f>VLOOKUP(D160, Volume_Discounts!A:C, 3, TRUE)</f>
        <v>0</v>
      </c>
      <c r="K160" s="2">
        <f>I160 * (1 - J160)</f>
        <v>0</v>
      </c>
      <c r="L160" s="3">
        <f>H160 * D160</f>
        <v>0</v>
      </c>
      <c r="M160" s="2">
        <f>VLOOKUP(E160, Shipping_Zones!A:C, 2, FALSE)</f>
        <v>0</v>
      </c>
      <c r="N160" s="2">
        <f>VLOOKUP(E160, Shipping_Zones!A:C, 3, FALSE)</f>
        <v>0</v>
      </c>
      <c r="O160" s="2">
        <f>M160 + (N160 * L160)</f>
        <v>0</v>
      </c>
      <c r="P160" s="2">
        <f>(F160 * D160) + O160</f>
        <v>0</v>
      </c>
      <c r="Q160" s="2">
        <f>K160 - P160</f>
        <v>0</v>
      </c>
    </row>
    <row r="161" spans="1:17">
      <c r="A161" t="s">
        <v>295</v>
      </c>
      <c r="B161" t="s">
        <v>569</v>
      </c>
      <c r="C161" t="s">
        <v>33</v>
      </c>
      <c r="D161">
        <v>48</v>
      </c>
      <c r="E161" t="s">
        <v>114</v>
      </c>
      <c r="F161" s="2">
        <f>VLOOKUP(C161, Products!A:F, 4, FALSE)</f>
        <v>0</v>
      </c>
      <c r="G161" s="2">
        <f>VLOOKUP(C161, Products!A:F, 5, FALSE)</f>
        <v>0</v>
      </c>
      <c r="H161" s="3">
        <f>VLOOKUP(C161, Products!A:F, 6, FALSE)</f>
        <v>0</v>
      </c>
      <c r="I161" s="2">
        <f>G161 * D161</f>
        <v>0</v>
      </c>
      <c r="J161" s="4">
        <f>VLOOKUP(D161, Volume_Discounts!A:C, 3, TRUE)</f>
        <v>0</v>
      </c>
      <c r="K161" s="2">
        <f>I161 * (1 - J161)</f>
        <v>0</v>
      </c>
      <c r="L161" s="3">
        <f>H161 * D161</f>
        <v>0</v>
      </c>
      <c r="M161" s="2">
        <f>VLOOKUP(E161, Shipping_Zones!A:C, 2, FALSE)</f>
        <v>0</v>
      </c>
      <c r="N161" s="2">
        <f>VLOOKUP(E161, Shipping_Zones!A:C, 3, FALSE)</f>
        <v>0</v>
      </c>
      <c r="O161" s="2">
        <f>M161 + (N161 * L161)</f>
        <v>0</v>
      </c>
      <c r="P161" s="2">
        <f>(F161 * D161) + O161</f>
        <v>0</v>
      </c>
      <c r="Q161" s="2">
        <f>K161 - P161</f>
        <v>0</v>
      </c>
    </row>
    <row r="162" spans="1:17">
      <c r="A162" t="s">
        <v>296</v>
      </c>
      <c r="B162" t="s">
        <v>436</v>
      </c>
      <c r="C162" t="s">
        <v>52</v>
      </c>
      <c r="D162">
        <v>54</v>
      </c>
      <c r="E162" t="s">
        <v>114</v>
      </c>
      <c r="F162" s="2">
        <f>VLOOKUP(C162, Products!A:F, 4, FALSE)</f>
        <v>0</v>
      </c>
      <c r="G162" s="2">
        <f>VLOOKUP(C162, Products!A:F, 5, FALSE)</f>
        <v>0</v>
      </c>
      <c r="H162" s="3">
        <f>VLOOKUP(C162, Products!A:F, 6, FALSE)</f>
        <v>0</v>
      </c>
      <c r="I162" s="2">
        <f>G162 * D162</f>
        <v>0</v>
      </c>
      <c r="J162" s="4">
        <f>VLOOKUP(D162, Volume_Discounts!A:C, 3, TRUE)</f>
        <v>0</v>
      </c>
      <c r="K162" s="2">
        <f>I162 * (1 - J162)</f>
        <v>0</v>
      </c>
      <c r="L162" s="3">
        <f>H162 * D162</f>
        <v>0</v>
      </c>
      <c r="M162" s="2">
        <f>VLOOKUP(E162, Shipping_Zones!A:C, 2, FALSE)</f>
        <v>0</v>
      </c>
      <c r="N162" s="2">
        <f>VLOOKUP(E162, Shipping_Zones!A:C, 3, FALSE)</f>
        <v>0</v>
      </c>
      <c r="O162" s="2">
        <f>M162 + (N162 * L162)</f>
        <v>0</v>
      </c>
      <c r="P162" s="2">
        <f>(F162 * D162) + O162</f>
        <v>0</v>
      </c>
      <c r="Q162" s="2">
        <f>K162 - P162</f>
        <v>0</v>
      </c>
    </row>
    <row r="163" spans="1:17">
      <c r="A163" t="s">
        <v>297</v>
      </c>
      <c r="B163" t="s">
        <v>570</v>
      </c>
      <c r="C163" t="s">
        <v>12</v>
      </c>
      <c r="D163">
        <v>100</v>
      </c>
      <c r="E163" t="s">
        <v>114</v>
      </c>
      <c r="F163" s="2">
        <f>VLOOKUP(C163, Products!A:F, 4, FALSE)</f>
        <v>0</v>
      </c>
      <c r="G163" s="2">
        <f>VLOOKUP(C163, Products!A:F, 5, FALSE)</f>
        <v>0</v>
      </c>
      <c r="H163" s="3">
        <f>VLOOKUP(C163, Products!A:F, 6, FALSE)</f>
        <v>0</v>
      </c>
      <c r="I163" s="2">
        <f>G163 * D163</f>
        <v>0</v>
      </c>
      <c r="J163" s="4">
        <f>VLOOKUP(D163, Volume_Discounts!A:C, 3, TRUE)</f>
        <v>0</v>
      </c>
      <c r="K163" s="2">
        <f>I163 * (1 - J163)</f>
        <v>0</v>
      </c>
      <c r="L163" s="3">
        <f>H163 * D163</f>
        <v>0</v>
      </c>
      <c r="M163" s="2">
        <f>VLOOKUP(E163, Shipping_Zones!A:C, 2, FALSE)</f>
        <v>0</v>
      </c>
      <c r="N163" s="2">
        <f>VLOOKUP(E163, Shipping_Zones!A:C, 3, FALSE)</f>
        <v>0</v>
      </c>
      <c r="O163" s="2">
        <f>M163 + (N163 * L163)</f>
        <v>0</v>
      </c>
      <c r="P163" s="2">
        <f>(F163 * D163) + O163</f>
        <v>0</v>
      </c>
      <c r="Q163" s="2">
        <f>K163 - P163</f>
        <v>0</v>
      </c>
    </row>
    <row r="164" spans="1:17">
      <c r="A164" t="s">
        <v>298</v>
      </c>
      <c r="B164" t="s">
        <v>571</v>
      </c>
      <c r="C164" t="s">
        <v>33</v>
      </c>
      <c r="D164">
        <v>45</v>
      </c>
      <c r="E164" t="s">
        <v>114</v>
      </c>
      <c r="F164" s="2">
        <f>VLOOKUP(C164, Products!A:F, 4, FALSE)</f>
        <v>0</v>
      </c>
      <c r="G164" s="2">
        <f>VLOOKUP(C164, Products!A:F, 5, FALSE)</f>
        <v>0</v>
      </c>
      <c r="H164" s="3">
        <f>VLOOKUP(C164, Products!A:F, 6, FALSE)</f>
        <v>0</v>
      </c>
      <c r="I164" s="2">
        <f>G164 * D164</f>
        <v>0</v>
      </c>
      <c r="J164" s="4">
        <f>VLOOKUP(D164, Volume_Discounts!A:C, 3, TRUE)</f>
        <v>0</v>
      </c>
      <c r="K164" s="2">
        <f>I164 * (1 - J164)</f>
        <v>0</v>
      </c>
      <c r="L164" s="3">
        <f>H164 * D164</f>
        <v>0</v>
      </c>
      <c r="M164" s="2">
        <f>VLOOKUP(E164, Shipping_Zones!A:C, 2, FALSE)</f>
        <v>0</v>
      </c>
      <c r="N164" s="2">
        <f>VLOOKUP(E164, Shipping_Zones!A:C, 3, FALSE)</f>
        <v>0</v>
      </c>
      <c r="O164" s="2">
        <f>M164 + (N164 * L164)</f>
        <v>0</v>
      </c>
      <c r="P164" s="2">
        <f>(F164 * D164) + O164</f>
        <v>0</v>
      </c>
      <c r="Q164" s="2">
        <f>K164 - P164</f>
        <v>0</v>
      </c>
    </row>
    <row r="165" spans="1:17">
      <c r="A165" t="s">
        <v>299</v>
      </c>
      <c r="B165" t="s">
        <v>572</v>
      </c>
      <c r="C165" t="s">
        <v>7</v>
      </c>
      <c r="D165">
        <v>44</v>
      </c>
      <c r="E165" t="s">
        <v>115</v>
      </c>
      <c r="F165" s="2">
        <f>VLOOKUP(C165, Products!A:F, 4, FALSE)</f>
        <v>0</v>
      </c>
      <c r="G165" s="2">
        <f>VLOOKUP(C165, Products!A:F, 5, FALSE)</f>
        <v>0</v>
      </c>
      <c r="H165" s="3">
        <f>VLOOKUP(C165, Products!A:F, 6, FALSE)</f>
        <v>0</v>
      </c>
      <c r="I165" s="2">
        <f>G165 * D165</f>
        <v>0</v>
      </c>
      <c r="J165" s="4">
        <f>VLOOKUP(D165, Volume_Discounts!A:C, 3, TRUE)</f>
        <v>0</v>
      </c>
      <c r="K165" s="2">
        <f>I165 * (1 - J165)</f>
        <v>0</v>
      </c>
      <c r="L165" s="3">
        <f>H165 * D165</f>
        <v>0</v>
      </c>
      <c r="M165" s="2">
        <f>VLOOKUP(E165, Shipping_Zones!A:C, 2, FALSE)</f>
        <v>0</v>
      </c>
      <c r="N165" s="2">
        <f>VLOOKUP(E165, Shipping_Zones!A:C, 3, FALSE)</f>
        <v>0</v>
      </c>
      <c r="O165" s="2">
        <f>M165 + (N165 * L165)</f>
        <v>0</v>
      </c>
      <c r="P165" s="2">
        <f>(F165 * D165) + O165</f>
        <v>0</v>
      </c>
      <c r="Q165" s="2">
        <f>K165 - P165</f>
        <v>0</v>
      </c>
    </row>
    <row r="166" spans="1:17">
      <c r="A166" t="s">
        <v>300</v>
      </c>
      <c r="B166" t="s">
        <v>508</v>
      </c>
      <c r="C166" t="s">
        <v>21</v>
      </c>
      <c r="D166">
        <v>106</v>
      </c>
      <c r="E166" t="s">
        <v>114</v>
      </c>
      <c r="F166" s="2">
        <f>VLOOKUP(C166, Products!A:F, 4, FALSE)</f>
        <v>0</v>
      </c>
      <c r="G166" s="2">
        <f>VLOOKUP(C166, Products!A:F, 5, FALSE)</f>
        <v>0</v>
      </c>
      <c r="H166" s="3">
        <f>VLOOKUP(C166, Products!A:F, 6, FALSE)</f>
        <v>0</v>
      </c>
      <c r="I166" s="2">
        <f>G166 * D166</f>
        <v>0</v>
      </c>
      <c r="J166" s="4">
        <f>VLOOKUP(D166, Volume_Discounts!A:C, 3, TRUE)</f>
        <v>0</v>
      </c>
      <c r="K166" s="2">
        <f>I166 * (1 - J166)</f>
        <v>0</v>
      </c>
      <c r="L166" s="3">
        <f>H166 * D166</f>
        <v>0</v>
      </c>
      <c r="M166" s="2">
        <f>VLOOKUP(E166, Shipping_Zones!A:C, 2, FALSE)</f>
        <v>0</v>
      </c>
      <c r="N166" s="2">
        <f>VLOOKUP(E166, Shipping_Zones!A:C, 3, FALSE)</f>
        <v>0</v>
      </c>
      <c r="O166" s="2">
        <f>M166 + (N166 * L166)</f>
        <v>0</v>
      </c>
      <c r="P166" s="2">
        <f>(F166 * D166) + O166</f>
        <v>0</v>
      </c>
      <c r="Q166" s="2">
        <f>K166 - P166</f>
        <v>0</v>
      </c>
    </row>
    <row r="167" spans="1:17">
      <c r="A167" t="s">
        <v>301</v>
      </c>
      <c r="B167" t="s">
        <v>475</v>
      </c>
      <c r="C167" t="s">
        <v>34</v>
      </c>
      <c r="D167">
        <v>48</v>
      </c>
      <c r="E167" t="s">
        <v>117</v>
      </c>
      <c r="F167" s="2">
        <f>VLOOKUP(C167, Products!A:F, 4, FALSE)</f>
        <v>0</v>
      </c>
      <c r="G167" s="2">
        <f>VLOOKUP(C167, Products!A:F, 5, FALSE)</f>
        <v>0</v>
      </c>
      <c r="H167" s="3">
        <f>VLOOKUP(C167, Products!A:F, 6, FALSE)</f>
        <v>0</v>
      </c>
      <c r="I167" s="2">
        <f>G167 * D167</f>
        <v>0</v>
      </c>
      <c r="J167" s="4">
        <f>VLOOKUP(D167, Volume_Discounts!A:C, 3, TRUE)</f>
        <v>0</v>
      </c>
      <c r="K167" s="2">
        <f>I167 * (1 - J167)</f>
        <v>0</v>
      </c>
      <c r="L167" s="3">
        <f>H167 * D167</f>
        <v>0</v>
      </c>
      <c r="M167" s="2">
        <f>VLOOKUP(E167, Shipping_Zones!A:C, 2, FALSE)</f>
        <v>0</v>
      </c>
      <c r="N167" s="2">
        <f>VLOOKUP(E167, Shipping_Zones!A:C, 3, FALSE)</f>
        <v>0</v>
      </c>
      <c r="O167" s="2">
        <f>M167 + (N167 * L167)</f>
        <v>0</v>
      </c>
      <c r="P167" s="2">
        <f>(F167 * D167) + O167</f>
        <v>0</v>
      </c>
      <c r="Q167" s="2">
        <f>K167 - P167</f>
        <v>0</v>
      </c>
    </row>
    <row r="168" spans="1:17">
      <c r="A168" t="s">
        <v>302</v>
      </c>
      <c r="B168" t="s">
        <v>573</v>
      </c>
      <c r="C168" t="s">
        <v>25</v>
      </c>
      <c r="D168">
        <v>107</v>
      </c>
      <c r="E168" t="s">
        <v>116</v>
      </c>
      <c r="F168" s="2">
        <f>VLOOKUP(C168, Products!A:F, 4, FALSE)</f>
        <v>0</v>
      </c>
      <c r="G168" s="2">
        <f>VLOOKUP(C168, Products!A:F, 5, FALSE)</f>
        <v>0</v>
      </c>
      <c r="H168" s="3">
        <f>VLOOKUP(C168, Products!A:F, 6, FALSE)</f>
        <v>0</v>
      </c>
      <c r="I168" s="2">
        <f>G168 * D168</f>
        <v>0</v>
      </c>
      <c r="J168" s="4">
        <f>VLOOKUP(D168, Volume_Discounts!A:C, 3, TRUE)</f>
        <v>0</v>
      </c>
      <c r="K168" s="2">
        <f>I168 * (1 - J168)</f>
        <v>0</v>
      </c>
      <c r="L168" s="3">
        <f>H168 * D168</f>
        <v>0</v>
      </c>
      <c r="M168" s="2">
        <f>VLOOKUP(E168, Shipping_Zones!A:C, 2, FALSE)</f>
        <v>0</v>
      </c>
      <c r="N168" s="2">
        <f>VLOOKUP(E168, Shipping_Zones!A:C, 3, FALSE)</f>
        <v>0</v>
      </c>
      <c r="O168" s="2">
        <f>M168 + (N168 * L168)</f>
        <v>0</v>
      </c>
      <c r="P168" s="2">
        <f>(F168 * D168) + O168</f>
        <v>0</v>
      </c>
      <c r="Q168" s="2">
        <f>K168 - P168</f>
        <v>0</v>
      </c>
    </row>
    <row r="169" spans="1:17">
      <c r="A169" t="s">
        <v>303</v>
      </c>
      <c r="B169" t="s">
        <v>574</v>
      </c>
      <c r="C169" t="s">
        <v>39</v>
      </c>
      <c r="D169">
        <v>21</v>
      </c>
      <c r="E169" t="s">
        <v>116</v>
      </c>
      <c r="F169" s="2">
        <f>VLOOKUP(C169, Products!A:F, 4, FALSE)</f>
        <v>0</v>
      </c>
      <c r="G169" s="2">
        <f>VLOOKUP(C169, Products!A:F, 5, FALSE)</f>
        <v>0</v>
      </c>
      <c r="H169" s="3">
        <f>VLOOKUP(C169, Products!A:F, 6, FALSE)</f>
        <v>0</v>
      </c>
      <c r="I169" s="2">
        <f>G169 * D169</f>
        <v>0</v>
      </c>
      <c r="J169" s="4">
        <f>VLOOKUP(D169, Volume_Discounts!A:C, 3, TRUE)</f>
        <v>0</v>
      </c>
      <c r="K169" s="2">
        <f>I169 * (1 - J169)</f>
        <v>0</v>
      </c>
      <c r="L169" s="3">
        <f>H169 * D169</f>
        <v>0</v>
      </c>
      <c r="M169" s="2">
        <f>VLOOKUP(E169, Shipping_Zones!A:C, 2, FALSE)</f>
        <v>0</v>
      </c>
      <c r="N169" s="2">
        <f>VLOOKUP(E169, Shipping_Zones!A:C, 3, FALSE)</f>
        <v>0</v>
      </c>
      <c r="O169" s="2">
        <f>M169 + (N169 * L169)</f>
        <v>0</v>
      </c>
      <c r="P169" s="2">
        <f>(F169 * D169) + O169</f>
        <v>0</v>
      </c>
      <c r="Q169" s="2">
        <f>K169 - P169</f>
        <v>0</v>
      </c>
    </row>
    <row r="170" spans="1:17">
      <c r="A170" t="s">
        <v>304</v>
      </c>
      <c r="B170" t="s">
        <v>575</v>
      </c>
      <c r="C170" t="s">
        <v>21</v>
      </c>
      <c r="D170">
        <v>39</v>
      </c>
      <c r="E170" t="s">
        <v>115</v>
      </c>
      <c r="F170" s="2">
        <f>VLOOKUP(C170, Products!A:F, 4, FALSE)</f>
        <v>0</v>
      </c>
      <c r="G170" s="2">
        <f>VLOOKUP(C170, Products!A:F, 5, FALSE)</f>
        <v>0</v>
      </c>
      <c r="H170" s="3">
        <f>VLOOKUP(C170, Products!A:F, 6, FALSE)</f>
        <v>0</v>
      </c>
      <c r="I170" s="2">
        <f>G170 * D170</f>
        <v>0</v>
      </c>
      <c r="J170" s="4">
        <f>VLOOKUP(D170, Volume_Discounts!A:C, 3, TRUE)</f>
        <v>0</v>
      </c>
      <c r="K170" s="2">
        <f>I170 * (1 - J170)</f>
        <v>0</v>
      </c>
      <c r="L170" s="3">
        <f>H170 * D170</f>
        <v>0</v>
      </c>
      <c r="M170" s="2">
        <f>VLOOKUP(E170, Shipping_Zones!A:C, 2, FALSE)</f>
        <v>0</v>
      </c>
      <c r="N170" s="2">
        <f>VLOOKUP(E170, Shipping_Zones!A:C, 3, FALSE)</f>
        <v>0</v>
      </c>
      <c r="O170" s="2">
        <f>M170 + (N170 * L170)</f>
        <v>0</v>
      </c>
      <c r="P170" s="2">
        <f>(F170 * D170) + O170</f>
        <v>0</v>
      </c>
      <c r="Q170" s="2">
        <f>K170 - P170</f>
        <v>0</v>
      </c>
    </row>
    <row r="171" spans="1:17">
      <c r="A171" t="s">
        <v>305</v>
      </c>
      <c r="B171" t="s">
        <v>529</v>
      </c>
      <c r="C171" t="s">
        <v>28</v>
      </c>
      <c r="D171">
        <v>3</v>
      </c>
      <c r="E171" t="s">
        <v>116</v>
      </c>
      <c r="F171" s="2">
        <f>VLOOKUP(C171, Products!A:F, 4, FALSE)</f>
        <v>0</v>
      </c>
      <c r="G171" s="2">
        <f>VLOOKUP(C171, Products!A:F, 5, FALSE)</f>
        <v>0</v>
      </c>
      <c r="H171" s="3">
        <f>VLOOKUP(C171, Products!A:F, 6, FALSE)</f>
        <v>0</v>
      </c>
      <c r="I171" s="2">
        <f>G171 * D171</f>
        <v>0</v>
      </c>
      <c r="J171" s="4">
        <f>VLOOKUP(D171, Volume_Discounts!A:C, 3, TRUE)</f>
        <v>0</v>
      </c>
      <c r="K171" s="2">
        <f>I171 * (1 - J171)</f>
        <v>0</v>
      </c>
      <c r="L171" s="3">
        <f>H171 * D171</f>
        <v>0</v>
      </c>
      <c r="M171" s="2">
        <f>VLOOKUP(E171, Shipping_Zones!A:C, 2, FALSE)</f>
        <v>0</v>
      </c>
      <c r="N171" s="2">
        <f>VLOOKUP(E171, Shipping_Zones!A:C, 3, FALSE)</f>
        <v>0</v>
      </c>
      <c r="O171" s="2">
        <f>M171 + (N171 * L171)</f>
        <v>0</v>
      </c>
      <c r="P171" s="2">
        <f>(F171 * D171) + O171</f>
        <v>0</v>
      </c>
      <c r="Q171" s="2">
        <f>K171 - P171</f>
        <v>0</v>
      </c>
    </row>
    <row r="172" spans="1:17">
      <c r="A172" t="s">
        <v>306</v>
      </c>
      <c r="B172" t="s">
        <v>457</v>
      </c>
      <c r="C172" t="s">
        <v>53</v>
      </c>
      <c r="D172">
        <v>35</v>
      </c>
      <c r="E172" t="s">
        <v>114</v>
      </c>
      <c r="F172" s="2">
        <f>VLOOKUP(C172, Products!A:F, 4, FALSE)</f>
        <v>0</v>
      </c>
      <c r="G172" s="2">
        <f>VLOOKUP(C172, Products!A:F, 5, FALSE)</f>
        <v>0</v>
      </c>
      <c r="H172" s="3">
        <f>VLOOKUP(C172, Products!A:F, 6, FALSE)</f>
        <v>0</v>
      </c>
      <c r="I172" s="2">
        <f>G172 * D172</f>
        <v>0</v>
      </c>
      <c r="J172" s="4">
        <f>VLOOKUP(D172, Volume_Discounts!A:C, 3, TRUE)</f>
        <v>0</v>
      </c>
      <c r="K172" s="2">
        <f>I172 * (1 - J172)</f>
        <v>0</v>
      </c>
      <c r="L172" s="3">
        <f>H172 * D172</f>
        <v>0</v>
      </c>
      <c r="M172" s="2">
        <f>VLOOKUP(E172, Shipping_Zones!A:C, 2, FALSE)</f>
        <v>0</v>
      </c>
      <c r="N172" s="2">
        <f>VLOOKUP(E172, Shipping_Zones!A:C, 3, FALSE)</f>
        <v>0</v>
      </c>
      <c r="O172" s="2">
        <f>M172 + (N172 * L172)</f>
        <v>0</v>
      </c>
      <c r="P172" s="2">
        <f>(F172 * D172) + O172</f>
        <v>0</v>
      </c>
      <c r="Q172" s="2">
        <f>K172 - P172</f>
        <v>0</v>
      </c>
    </row>
    <row r="173" spans="1:17">
      <c r="A173" t="s">
        <v>307</v>
      </c>
      <c r="B173" t="s">
        <v>576</v>
      </c>
      <c r="C173" t="s">
        <v>18</v>
      </c>
      <c r="D173">
        <v>38</v>
      </c>
      <c r="E173" t="s">
        <v>114</v>
      </c>
      <c r="F173" s="2">
        <f>VLOOKUP(C173, Products!A:F, 4, FALSE)</f>
        <v>0</v>
      </c>
      <c r="G173" s="2">
        <f>VLOOKUP(C173, Products!A:F, 5, FALSE)</f>
        <v>0</v>
      </c>
      <c r="H173" s="3">
        <f>VLOOKUP(C173, Products!A:F, 6, FALSE)</f>
        <v>0</v>
      </c>
      <c r="I173" s="2">
        <f>G173 * D173</f>
        <v>0</v>
      </c>
      <c r="J173" s="4">
        <f>VLOOKUP(D173, Volume_Discounts!A:C, 3, TRUE)</f>
        <v>0</v>
      </c>
      <c r="K173" s="2">
        <f>I173 * (1 - J173)</f>
        <v>0</v>
      </c>
      <c r="L173" s="3">
        <f>H173 * D173</f>
        <v>0</v>
      </c>
      <c r="M173" s="2">
        <f>VLOOKUP(E173, Shipping_Zones!A:C, 2, FALSE)</f>
        <v>0</v>
      </c>
      <c r="N173" s="2">
        <f>VLOOKUP(E173, Shipping_Zones!A:C, 3, FALSE)</f>
        <v>0</v>
      </c>
      <c r="O173" s="2">
        <f>M173 + (N173 * L173)</f>
        <v>0</v>
      </c>
      <c r="P173" s="2">
        <f>(F173 * D173) + O173</f>
        <v>0</v>
      </c>
      <c r="Q173" s="2">
        <f>K173 - P173</f>
        <v>0</v>
      </c>
    </row>
    <row r="174" spans="1:17">
      <c r="A174" t="s">
        <v>308</v>
      </c>
      <c r="B174" t="s">
        <v>493</v>
      </c>
      <c r="C174" t="s">
        <v>53</v>
      </c>
      <c r="D174">
        <v>57</v>
      </c>
      <c r="E174" t="s">
        <v>115</v>
      </c>
      <c r="F174" s="2">
        <f>VLOOKUP(C174, Products!A:F, 4, FALSE)</f>
        <v>0</v>
      </c>
      <c r="G174" s="2">
        <f>VLOOKUP(C174, Products!A:F, 5, FALSE)</f>
        <v>0</v>
      </c>
      <c r="H174" s="3">
        <f>VLOOKUP(C174, Products!A:F, 6, FALSE)</f>
        <v>0</v>
      </c>
      <c r="I174" s="2">
        <f>G174 * D174</f>
        <v>0</v>
      </c>
      <c r="J174" s="4">
        <f>VLOOKUP(D174, Volume_Discounts!A:C, 3, TRUE)</f>
        <v>0</v>
      </c>
      <c r="K174" s="2">
        <f>I174 * (1 - J174)</f>
        <v>0</v>
      </c>
      <c r="L174" s="3">
        <f>H174 * D174</f>
        <v>0</v>
      </c>
      <c r="M174" s="2">
        <f>VLOOKUP(E174, Shipping_Zones!A:C, 2, FALSE)</f>
        <v>0</v>
      </c>
      <c r="N174" s="2">
        <f>VLOOKUP(E174, Shipping_Zones!A:C, 3, FALSE)</f>
        <v>0</v>
      </c>
      <c r="O174" s="2">
        <f>M174 + (N174 * L174)</f>
        <v>0</v>
      </c>
      <c r="P174" s="2">
        <f>(F174 * D174) + O174</f>
        <v>0</v>
      </c>
      <c r="Q174" s="2">
        <f>K174 - P174</f>
        <v>0</v>
      </c>
    </row>
    <row r="175" spans="1:17">
      <c r="A175" t="s">
        <v>309</v>
      </c>
      <c r="B175" t="s">
        <v>577</v>
      </c>
      <c r="C175" t="s">
        <v>22</v>
      </c>
      <c r="D175">
        <v>46</v>
      </c>
      <c r="E175" t="s">
        <v>116</v>
      </c>
      <c r="F175" s="2">
        <f>VLOOKUP(C175, Products!A:F, 4, FALSE)</f>
        <v>0</v>
      </c>
      <c r="G175" s="2">
        <f>VLOOKUP(C175, Products!A:F, 5, FALSE)</f>
        <v>0</v>
      </c>
      <c r="H175" s="3">
        <f>VLOOKUP(C175, Products!A:F, 6, FALSE)</f>
        <v>0</v>
      </c>
      <c r="I175" s="2">
        <f>G175 * D175</f>
        <v>0</v>
      </c>
      <c r="J175" s="4">
        <f>VLOOKUP(D175, Volume_Discounts!A:C, 3, TRUE)</f>
        <v>0</v>
      </c>
      <c r="K175" s="2">
        <f>I175 * (1 - J175)</f>
        <v>0</v>
      </c>
      <c r="L175" s="3">
        <f>H175 * D175</f>
        <v>0</v>
      </c>
      <c r="M175" s="2">
        <f>VLOOKUP(E175, Shipping_Zones!A:C, 2, FALSE)</f>
        <v>0</v>
      </c>
      <c r="N175" s="2">
        <f>VLOOKUP(E175, Shipping_Zones!A:C, 3, FALSE)</f>
        <v>0</v>
      </c>
      <c r="O175" s="2">
        <f>M175 + (N175 * L175)</f>
        <v>0</v>
      </c>
      <c r="P175" s="2">
        <f>(F175 * D175) + O175</f>
        <v>0</v>
      </c>
      <c r="Q175" s="2">
        <f>K175 - P175</f>
        <v>0</v>
      </c>
    </row>
    <row r="176" spans="1:17">
      <c r="A176" t="s">
        <v>310</v>
      </c>
      <c r="B176" t="s">
        <v>578</v>
      </c>
      <c r="C176" t="s">
        <v>16</v>
      </c>
      <c r="D176">
        <v>30</v>
      </c>
      <c r="E176" t="s">
        <v>116</v>
      </c>
      <c r="F176" s="2">
        <f>VLOOKUP(C176, Products!A:F, 4, FALSE)</f>
        <v>0</v>
      </c>
      <c r="G176" s="2">
        <f>VLOOKUP(C176, Products!A:F, 5, FALSE)</f>
        <v>0</v>
      </c>
      <c r="H176" s="3">
        <f>VLOOKUP(C176, Products!A:F, 6, FALSE)</f>
        <v>0</v>
      </c>
      <c r="I176" s="2">
        <f>G176 * D176</f>
        <v>0</v>
      </c>
      <c r="J176" s="4">
        <f>VLOOKUP(D176, Volume_Discounts!A:C, 3, TRUE)</f>
        <v>0</v>
      </c>
      <c r="K176" s="2">
        <f>I176 * (1 - J176)</f>
        <v>0</v>
      </c>
      <c r="L176" s="3">
        <f>H176 * D176</f>
        <v>0</v>
      </c>
      <c r="M176" s="2">
        <f>VLOOKUP(E176, Shipping_Zones!A:C, 2, FALSE)</f>
        <v>0</v>
      </c>
      <c r="N176" s="2">
        <f>VLOOKUP(E176, Shipping_Zones!A:C, 3, FALSE)</f>
        <v>0</v>
      </c>
      <c r="O176" s="2">
        <f>M176 + (N176 * L176)</f>
        <v>0</v>
      </c>
      <c r="P176" s="2">
        <f>(F176 * D176) + O176</f>
        <v>0</v>
      </c>
      <c r="Q176" s="2">
        <f>K176 - P176</f>
        <v>0</v>
      </c>
    </row>
    <row r="177" spans="1:17">
      <c r="A177" t="s">
        <v>311</v>
      </c>
      <c r="B177" t="s">
        <v>568</v>
      </c>
      <c r="C177" t="s">
        <v>48</v>
      </c>
      <c r="D177">
        <v>119</v>
      </c>
      <c r="E177" t="s">
        <v>117</v>
      </c>
      <c r="F177" s="2">
        <f>VLOOKUP(C177, Products!A:F, 4, FALSE)</f>
        <v>0</v>
      </c>
      <c r="G177" s="2">
        <f>VLOOKUP(C177, Products!A:F, 5, FALSE)</f>
        <v>0</v>
      </c>
      <c r="H177" s="3">
        <f>VLOOKUP(C177, Products!A:F, 6, FALSE)</f>
        <v>0</v>
      </c>
      <c r="I177" s="2">
        <f>G177 * D177</f>
        <v>0</v>
      </c>
      <c r="J177" s="4">
        <f>VLOOKUP(D177, Volume_Discounts!A:C, 3, TRUE)</f>
        <v>0</v>
      </c>
      <c r="K177" s="2">
        <f>I177 * (1 - J177)</f>
        <v>0</v>
      </c>
      <c r="L177" s="3">
        <f>H177 * D177</f>
        <v>0</v>
      </c>
      <c r="M177" s="2">
        <f>VLOOKUP(E177, Shipping_Zones!A:C, 2, FALSE)</f>
        <v>0</v>
      </c>
      <c r="N177" s="2">
        <f>VLOOKUP(E177, Shipping_Zones!A:C, 3, FALSE)</f>
        <v>0</v>
      </c>
      <c r="O177" s="2">
        <f>M177 + (N177 * L177)</f>
        <v>0</v>
      </c>
      <c r="P177" s="2">
        <f>(F177 * D177) + O177</f>
        <v>0</v>
      </c>
      <c r="Q177" s="2">
        <f>K177 - P177</f>
        <v>0</v>
      </c>
    </row>
    <row r="178" spans="1:17">
      <c r="A178" t="s">
        <v>312</v>
      </c>
      <c r="B178" t="s">
        <v>535</v>
      </c>
      <c r="C178" t="s">
        <v>40</v>
      </c>
      <c r="D178">
        <v>69</v>
      </c>
      <c r="E178" t="s">
        <v>117</v>
      </c>
      <c r="F178" s="2">
        <f>VLOOKUP(C178, Products!A:F, 4, FALSE)</f>
        <v>0</v>
      </c>
      <c r="G178" s="2">
        <f>VLOOKUP(C178, Products!A:F, 5, FALSE)</f>
        <v>0</v>
      </c>
      <c r="H178" s="3">
        <f>VLOOKUP(C178, Products!A:F, 6, FALSE)</f>
        <v>0</v>
      </c>
      <c r="I178" s="2">
        <f>G178 * D178</f>
        <v>0</v>
      </c>
      <c r="J178" s="4">
        <f>VLOOKUP(D178, Volume_Discounts!A:C, 3, TRUE)</f>
        <v>0</v>
      </c>
      <c r="K178" s="2">
        <f>I178 * (1 - J178)</f>
        <v>0</v>
      </c>
      <c r="L178" s="3">
        <f>H178 * D178</f>
        <v>0</v>
      </c>
      <c r="M178" s="2">
        <f>VLOOKUP(E178, Shipping_Zones!A:C, 2, FALSE)</f>
        <v>0</v>
      </c>
      <c r="N178" s="2">
        <f>VLOOKUP(E178, Shipping_Zones!A:C, 3, FALSE)</f>
        <v>0</v>
      </c>
      <c r="O178" s="2">
        <f>M178 + (N178 * L178)</f>
        <v>0</v>
      </c>
      <c r="P178" s="2">
        <f>(F178 * D178) + O178</f>
        <v>0</v>
      </c>
      <c r="Q178" s="2">
        <f>K178 - P178</f>
        <v>0</v>
      </c>
    </row>
    <row r="179" spans="1:17">
      <c r="A179" t="s">
        <v>313</v>
      </c>
      <c r="B179" t="s">
        <v>579</v>
      </c>
      <c r="C179" t="s">
        <v>37</v>
      </c>
      <c r="D179">
        <v>45</v>
      </c>
      <c r="E179" t="s">
        <v>117</v>
      </c>
      <c r="F179" s="2">
        <f>VLOOKUP(C179, Products!A:F, 4, FALSE)</f>
        <v>0</v>
      </c>
      <c r="G179" s="2">
        <f>VLOOKUP(C179, Products!A:F, 5, FALSE)</f>
        <v>0</v>
      </c>
      <c r="H179" s="3">
        <f>VLOOKUP(C179, Products!A:F, 6, FALSE)</f>
        <v>0</v>
      </c>
      <c r="I179" s="2">
        <f>G179 * D179</f>
        <v>0</v>
      </c>
      <c r="J179" s="4">
        <f>VLOOKUP(D179, Volume_Discounts!A:C, 3, TRUE)</f>
        <v>0</v>
      </c>
      <c r="K179" s="2">
        <f>I179 * (1 - J179)</f>
        <v>0</v>
      </c>
      <c r="L179" s="3">
        <f>H179 * D179</f>
        <v>0</v>
      </c>
      <c r="M179" s="2">
        <f>VLOOKUP(E179, Shipping_Zones!A:C, 2, FALSE)</f>
        <v>0</v>
      </c>
      <c r="N179" s="2">
        <f>VLOOKUP(E179, Shipping_Zones!A:C, 3, FALSE)</f>
        <v>0</v>
      </c>
      <c r="O179" s="2">
        <f>M179 + (N179 * L179)</f>
        <v>0</v>
      </c>
      <c r="P179" s="2">
        <f>(F179 * D179) + O179</f>
        <v>0</v>
      </c>
      <c r="Q179" s="2">
        <f>K179 - P179</f>
        <v>0</v>
      </c>
    </row>
    <row r="180" spans="1:17">
      <c r="A180" t="s">
        <v>314</v>
      </c>
      <c r="B180" t="s">
        <v>529</v>
      </c>
      <c r="C180" t="s">
        <v>12</v>
      </c>
      <c r="D180">
        <v>28</v>
      </c>
      <c r="E180" t="s">
        <v>115</v>
      </c>
      <c r="F180" s="2">
        <f>VLOOKUP(C180, Products!A:F, 4, FALSE)</f>
        <v>0</v>
      </c>
      <c r="G180" s="2">
        <f>VLOOKUP(C180, Products!A:F, 5, FALSE)</f>
        <v>0</v>
      </c>
      <c r="H180" s="3">
        <f>VLOOKUP(C180, Products!A:F, 6, FALSE)</f>
        <v>0</v>
      </c>
      <c r="I180" s="2">
        <f>G180 * D180</f>
        <v>0</v>
      </c>
      <c r="J180" s="4">
        <f>VLOOKUP(D180, Volume_Discounts!A:C, 3, TRUE)</f>
        <v>0</v>
      </c>
      <c r="K180" s="2">
        <f>I180 * (1 - J180)</f>
        <v>0</v>
      </c>
      <c r="L180" s="3">
        <f>H180 * D180</f>
        <v>0</v>
      </c>
      <c r="M180" s="2">
        <f>VLOOKUP(E180, Shipping_Zones!A:C, 2, FALSE)</f>
        <v>0</v>
      </c>
      <c r="N180" s="2">
        <f>VLOOKUP(E180, Shipping_Zones!A:C, 3, FALSE)</f>
        <v>0</v>
      </c>
      <c r="O180" s="2">
        <f>M180 + (N180 * L180)</f>
        <v>0</v>
      </c>
      <c r="P180" s="2">
        <f>(F180 * D180) + O180</f>
        <v>0</v>
      </c>
      <c r="Q180" s="2">
        <f>K180 - P180</f>
        <v>0</v>
      </c>
    </row>
    <row r="181" spans="1:17">
      <c r="A181" t="s">
        <v>315</v>
      </c>
      <c r="B181" t="s">
        <v>580</v>
      </c>
      <c r="C181" t="s">
        <v>21</v>
      </c>
      <c r="D181">
        <v>67</v>
      </c>
      <c r="E181" t="s">
        <v>117</v>
      </c>
      <c r="F181" s="2">
        <f>VLOOKUP(C181, Products!A:F, 4, FALSE)</f>
        <v>0</v>
      </c>
      <c r="G181" s="2">
        <f>VLOOKUP(C181, Products!A:F, 5, FALSE)</f>
        <v>0</v>
      </c>
      <c r="H181" s="3">
        <f>VLOOKUP(C181, Products!A:F, 6, FALSE)</f>
        <v>0</v>
      </c>
      <c r="I181" s="2">
        <f>G181 * D181</f>
        <v>0</v>
      </c>
      <c r="J181" s="4">
        <f>VLOOKUP(D181, Volume_Discounts!A:C, 3, TRUE)</f>
        <v>0</v>
      </c>
      <c r="K181" s="2">
        <f>I181 * (1 - J181)</f>
        <v>0</v>
      </c>
      <c r="L181" s="3">
        <f>H181 * D181</f>
        <v>0</v>
      </c>
      <c r="M181" s="2">
        <f>VLOOKUP(E181, Shipping_Zones!A:C, 2, FALSE)</f>
        <v>0</v>
      </c>
      <c r="N181" s="2">
        <f>VLOOKUP(E181, Shipping_Zones!A:C, 3, FALSE)</f>
        <v>0</v>
      </c>
      <c r="O181" s="2">
        <f>M181 + (N181 * L181)</f>
        <v>0</v>
      </c>
      <c r="P181" s="2">
        <f>(F181 * D181) + O181</f>
        <v>0</v>
      </c>
      <c r="Q181" s="2">
        <f>K181 - P181</f>
        <v>0</v>
      </c>
    </row>
    <row r="182" spans="1:17">
      <c r="A182" t="s">
        <v>316</v>
      </c>
      <c r="B182" t="s">
        <v>581</v>
      </c>
      <c r="C182" t="s">
        <v>32</v>
      </c>
      <c r="D182">
        <v>115</v>
      </c>
      <c r="E182" t="s">
        <v>116</v>
      </c>
      <c r="F182" s="2">
        <f>VLOOKUP(C182, Products!A:F, 4, FALSE)</f>
        <v>0</v>
      </c>
      <c r="G182" s="2">
        <f>VLOOKUP(C182, Products!A:F, 5, FALSE)</f>
        <v>0</v>
      </c>
      <c r="H182" s="3">
        <f>VLOOKUP(C182, Products!A:F, 6, FALSE)</f>
        <v>0</v>
      </c>
      <c r="I182" s="2">
        <f>G182 * D182</f>
        <v>0</v>
      </c>
      <c r="J182" s="4">
        <f>VLOOKUP(D182, Volume_Discounts!A:C, 3, TRUE)</f>
        <v>0</v>
      </c>
      <c r="K182" s="2">
        <f>I182 * (1 - J182)</f>
        <v>0</v>
      </c>
      <c r="L182" s="3">
        <f>H182 * D182</f>
        <v>0</v>
      </c>
      <c r="M182" s="2">
        <f>VLOOKUP(E182, Shipping_Zones!A:C, 2, FALSE)</f>
        <v>0</v>
      </c>
      <c r="N182" s="2">
        <f>VLOOKUP(E182, Shipping_Zones!A:C, 3, FALSE)</f>
        <v>0</v>
      </c>
      <c r="O182" s="2">
        <f>M182 + (N182 * L182)</f>
        <v>0</v>
      </c>
      <c r="P182" s="2">
        <f>(F182 * D182) + O182</f>
        <v>0</v>
      </c>
      <c r="Q182" s="2">
        <f>K182 - P182</f>
        <v>0</v>
      </c>
    </row>
    <row r="183" spans="1:17">
      <c r="A183" t="s">
        <v>317</v>
      </c>
      <c r="B183" t="s">
        <v>453</v>
      </c>
      <c r="C183" t="s">
        <v>48</v>
      </c>
      <c r="D183">
        <v>40</v>
      </c>
      <c r="E183" t="s">
        <v>114</v>
      </c>
      <c r="F183" s="2">
        <f>VLOOKUP(C183, Products!A:F, 4, FALSE)</f>
        <v>0</v>
      </c>
      <c r="G183" s="2">
        <f>VLOOKUP(C183, Products!A:F, 5, FALSE)</f>
        <v>0</v>
      </c>
      <c r="H183" s="3">
        <f>VLOOKUP(C183, Products!A:F, 6, FALSE)</f>
        <v>0</v>
      </c>
      <c r="I183" s="2">
        <f>G183 * D183</f>
        <v>0</v>
      </c>
      <c r="J183" s="4">
        <f>VLOOKUP(D183, Volume_Discounts!A:C, 3, TRUE)</f>
        <v>0</v>
      </c>
      <c r="K183" s="2">
        <f>I183 * (1 - J183)</f>
        <v>0</v>
      </c>
      <c r="L183" s="3">
        <f>H183 * D183</f>
        <v>0</v>
      </c>
      <c r="M183" s="2">
        <f>VLOOKUP(E183, Shipping_Zones!A:C, 2, FALSE)</f>
        <v>0</v>
      </c>
      <c r="N183" s="2">
        <f>VLOOKUP(E183, Shipping_Zones!A:C, 3, FALSE)</f>
        <v>0</v>
      </c>
      <c r="O183" s="2">
        <f>M183 + (N183 * L183)</f>
        <v>0</v>
      </c>
      <c r="P183" s="2">
        <f>(F183 * D183) + O183</f>
        <v>0</v>
      </c>
      <c r="Q183" s="2">
        <f>K183 - P183</f>
        <v>0</v>
      </c>
    </row>
    <row r="184" spans="1:17">
      <c r="A184" t="s">
        <v>318</v>
      </c>
      <c r="B184" t="s">
        <v>522</v>
      </c>
      <c r="C184" t="s">
        <v>53</v>
      </c>
      <c r="D184">
        <v>23</v>
      </c>
      <c r="E184" t="s">
        <v>117</v>
      </c>
      <c r="F184" s="2">
        <f>VLOOKUP(C184, Products!A:F, 4, FALSE)</f>
        <v>0</v>
      </c>
      <c r="G184" s="2">
        <f>VLOOKUP(C184, Products!A:F, 5, FALSE)</f>
        <v>0</v>
      </c>
      <c r="H184" s="3">
        <f>VLOOKUP(C184, Products!A:F, 6, FALSE)</f>
        <v>0</v>
      </c>
      <c r="I184" s="2">
        <f>G184 * D184</f>
        <v>0</v>
      </c>
      <c r="J184" s="4">
        <f>VLOOKUP(D184, Volume_Discounts!A:C, 3, TRUE)</f>
        <v>0</v>
      </c>
      <c r="K184" s="2">
        <f>I184 * (1 - J184)</f>
        <v>0</v>
      </c>
      <c r="L184" s="3">
        <f>H184 * D184</f>
        <v>0</v>
      </c>
      <c r="M184" s="2">
        <f>VLOOKUP(E184, Shipping_Zones!A:C, 2, FALSE)</f>
        <v>0</v>
      </c>
      <c r="N184" s="2">
        <f>VLOOKUP(E184, Shipping_Zones!A:C, 3, FALSE)</f>
        <v>0</v>
      </c>
      <c r="O184" s="2">
        <f>M184 + (N184 * L184)</f>
        <v>0</v>
      </c>
      <c r="P184" s="2">
        <f>(F184 * D184) + O184</f>
        <v>0</v>
      </c>
      <c r="Q184" s="2">
        <f>K184 - P184</f>
        <v>0</v>
      </c>
    </row>
    <row r="185" spans="1:17">
      <c r="A185" t="s">
        <v>319</v>
      </c>
      <c r="B185" t="s">
        <v>505</v>
      </c>
      <c r="C185" t="s">
        <v>21</v>
      </c>
      <c r="D185">
        <v>93</v>
      </c>
      <c r="E185" t="s">
        <v>115</v>
      </c>
      <c r="F185" s="2">
        <f>VLOOKUP(C185, Products!A:F, 4, FALSE)</f>
        <v>0</v>
      </c>
      <c r="G185" s="2">
        <f>VLOOKUP(C185, Products!A:F, 5, FALSE)</f>
        <v>0</v>
      </c>
      <c r="H185" s="3">
        <f>VLOOKUP(C185, Products!A:F, 6, FALSE)</f>
        <v>0</v>
      </c>
      <c r="I185" s="2">
        <f>G185 * D185</f>
        <v>0</v>
      </c>
      <c r="J185" s="4">
        <f>VLOOKUP(D185, Volume_Discounts!A:C, 3, TRUE)</f>
        <v>0</v>
      </c>
      <c r="K185" s="2">
        <f>I185 * (1 - J185)</f>
        <v>0</v>
      </c>
      <c r="L185" s="3">
        <f>H185 * D185</f>
        <v>0</v>
      </c>
      <c r="M185" s="2">
        <f>VLOOKUP(E185, Shipping_Zones!A:C, 2, FALSE)</f>
        <v>0</v>
      </c>
      <c r="N185" s="2">
        <f>VLOOKUP(E185, Shipping_Zones!A:C, 3, FALSE)</f>
        <v>0</v>
      </c>
      <c r="O185" s="2">
        <f>M185 + (N185 * L185)</f>
        <v>0</v>
      </c>
      <c r="P185" s="2">
        <f>(F185 * D185) + O185</f>
        <v>0</v>
      </c>
      <c r="Q185" s="2">
        <f>K185 - P185</f>
        <v>0</v>
      </c>
    </row>
    <row r="186" spans="1:17">
      <c r="A186" t="s">
        <v>320</v>
      </c>
      <c r="B186" t="s">
        <v>582</v>
      </c>
      <c r="C186" t="s">
        <v>6</v>
      </c>
      <c r="D186">
        <v>3</v>
      </c>
      <c r="E186" t="s">
        <v>117</v>
      </c>
      <c r="F186" s="2">
        <f>VLOOKUP(C186, Products!A:F, 4, FALSE)</f>
        <v>0</v>
      </c>
      <c r="G186" s="2">
        <f>VLOOKUP(C186, Products!A:F, 5, FALSE)</f>
        <v>0</v>
      </c>
      <c r="H186" s="3">
        <f>VLOOKUP(C186, Products!A:F, 6, FALSE)</f>
        <v>0</v>
      </c>
      <c r="I186" s="2">
        <f>G186 * D186</f>
        <v>0</v>
      </c>
      <c r="J186" s="4">
        <f>VLOOKUP(D186, Volume_Discounts!A:C, 3, TRUE)</f>
        <v>0</v>
      </c>
      <c r="K186" s="2">
        <f>I186 * (1 - J186)</f>
        <v>0</v>
      </c>
      <c r="L186" s="3">
        <f>H186 * D186</f>
        <v>0</v>
      </c>
      <c r="M186" s="2">
        <f>VLOOKUP(E186, Shipping_Zones!A:C, 2, FALSE)</f>
        <v>0</v>
      </c>
      <c r="N186" s="2">
        <f>VLOOKUP(E186, Shipping_Zones!A:C, 3, FALSE)</f>
        <v>0</v>
      </c>
      <c r="O186" s="2">
        <f>M186 + (N186 * L186)</f>
        <v>0</v>
      </c>
      <c r="P186" s="2">
        <f>(F186 * D186) + O186</f>
        <v>0</v>
      </c>
      <c r="Q186" s="2">
        <f>K186 - P186</f>
        <v>0</v>
      </c>
    </row>
    <row r="187" spans="1:17">
      <c r="A187" t="s">
        <v>321</v>
      </c>
      <c r="B187" t="s">
        <v>583</v>
      </c>
      <c r="C187" t="s">
        <v>54</v>
      </c>
      <c r="D187">
        <v>86</v>
      </c>
      <c r="E187" t="s">
        <v>116</v>
      </c>
      <c r="F187" s="2">
        <f>VLOOKUP(C187, Products!A:F, 4, FALSE)</f>
        <v>0</v>
      </c>
      <c r="G187" s="2">
        <f>VLOOKUP(C187, Products!A:F, 5, FALSE)</f>
        <v>0</v>
      </c>
      <c r="H187" s="3">
        <f>VLOOKUP(C187, Products!A:F, 6, FALSE)</f>
        <v>0</v>
      </c>
      <c r="I187" s="2">
        <f>G187 * D187</f>
        <v>0</v>
      </c>
      <c r="J187" s="4">
        <f>VLOOKUP(D187, Volume_Discounts!A:C, 3, TRUE)</f>
        <v>0</v>
      </c>
      <c r="K187" s="2">
        <f>I187 * (1 - J187)</f>
        <v>0</v>
      </c>
      <c r="L187" s="3">
        <f>H187 * D187</f>
        <v>0</v>
      </c>
      <c r="M187" s="2">
        <f>VLOOKUP(E187, Shipping_Zones!A:C, 2, FALSE)</f>
        <v>0</v>
      </c>
      <c r="N187" s="2">
        <f>VLOOKUP(E187, Shipping_Zones!A:C, 3, FALSE)</f>
        <v>0</v>
      </c>
      <c r="O187" s="2">
        <f>M187 + (N187 * L187)</f>
        <v>0</v>
      </c>
      <c r="P187" s="2">
        <f>(F187 * D187) + O187</f>
        <v>0</v>
      </c>
      <c r="Q187" s="2">
        <f>K187 - P187</f>
        <v>0</v>
      </c>
    </row>
    <row r="188" spans="1:17">
      <c r="A188" t="s">
        <v>322</v>
      </c>
      <c r="B188" t="s">
        <v>584</v>
      </c>
      <c r="C188" t="s">
        <v>41</v>
      </c>
      <c r="D188">
        <v>55</v>
      </c>
      <c r="E188" t="s">
        <v>115</v>
      </c>
      <c r="F188" s="2">
        <f>VLOOKUP(C188, Products!A:F, 4, FALSE)</f>
        <v>0</v>
      </c>
      <c r="G188" s="2">
        <f>VLOOKUP(C188, Products!A:F, 5, FALSE)</f>
        <v>0</v>
      </c>
      <c r="H188" s="3">
        <f>VLOOKUP(C188, Products!A:F, 6, FALSE)</f>
        <v>0</v>
      </c>
      <c r="I188" s="2">
        <f>G188 * D188</f>
        <v>0</v>
      </c>
      <c r="J188" s="4">
        <f>VLOOKUP(D188, Volume_Discounts!A:C, 3, TRUE)</f>
        <v>0</v>
      </c>
      <c r="K188" s="2">
        <f>I188 * (1 - J188)</f>
        <v>0</v>
      </c>
      <c r="L188" s="3">
        <f>H188 * D188</f>
        <v>0</v>
      </c>
      <c r="M188" s="2">
        <f>VLOOKUP(E188, Shipping_Zones!A:C, 2, FALSE)</f>
        <v>0</v>
      </c>
      <c r="N188" s="2">
        <f>VLOOKUP(E188, Shipping_Zones!A:C, 3, FALSE)</f>
        <v>0</v>
      </c>
      <c r="O188" s="2">
        <f>M188 + (N188 * L188)</f>
        <v>0</v>
      </c>
      <c r="P188" s="2">
        <f>(F188 * D188) + O188</f>
        <v>0</v>
      </c>
      <c r="Q188" s="2">
        <f>K188 - P188</f>
        <v>0</v>
      </c>
    </row>
    <row r="189" spans="1:17">
      <c r="A189" t="s">
        <v>323</v>
      </c>
      <c r="B189" t="s">
        <v>585</v>
      </c>
      <c r="C189" t="s">
        <v>35</v>
      </c>
      <c r="D189">
        <v>46</v>
      </c>
      <c r="E189" t="s">
        <v>117</v>
      </c>
      <c r="F189" s="2">
        <f>VLOOKUP(C189, Products!A:F, 4, FALSE)</f>
        <v>0</v>
      </c>
      <c r="G189" s="2">
        <f>VLOOKUP(C189, Products!A:F, 5, FALSE)</f>
        <v>0</v>
      </c>
      <c r="H189" s="3">
        <f>VLOOKUP(C189, Products!A:F, 6, FALSE)</f>
        <v>0</v>
      </c>
      <c r="I189" s="2">
        <f>G189 * D189</f>
        <v>0</v>
      </c>
      <c r="J189" s="4">
        <f>VLOOKUP(D189, Volume_Discounts!A:C, 3, TRUE)</f>
        <v>0</v>
      </c>
      <c r="K189" s="2">
        <f>I189 * (1 - J189)</f>
        <v>0</v>
      </c>
      <c r="L189" s="3">
        <f>H189 * D189</f>
        <v>0</v>
      </c>
      <c r="M189" s="2">
        <f>VLOOKUP(E189, Shipping_Zones!A:C, 2, FALSE)</f>
        <v>0</v>
      </c>
      <c r="N189" s="2">
        <f>VLOOKUP(E189, Shipping_Zones!A:C, 3, FALSE)</f>
        <v>0</v>
      </c>
      <c r="O189" s="2">
        <f>M189 + (N189 * L189)</f>
        <v>0</v>
      </c>
      <c r="P189" s="2">
        <f>(F189 * D189) + O189</f>
        <v>0</v>
      </c>
      <c r="Q189" s="2">
        <f>K189 - P189</f>
        <v>0</v>
      </c>
    </row>
    <row r="190" spans="1:17">
      <c r="A190" t="s">
        <v>324</v>
      </c>
      <c r="B190" t="s">
        <v>586</v>
      </c>
      <c r="C190" t="s">
        <v>27</v>
      </c>
      <c r="D190">
        <v>1</v>
      </c>
      <c r="E190" t="s">
        <v>116</v>
      </c>
      <c r="F190" s="2">
        <f>VLOOKUP(C190, Products!A:F, 4, FALSE)</f>
        <v>0</v>
      </c>
      <c r="G190" s="2">
        <f>VLOOKUP(C190, Products!A:F, 5, FALSE)</f>
        <v>0</v>
      </c>
      <c r="H190" s="3">
        <f>VLOOKUP(C190, Products!A:F, 6, FALSE)</f>
        <v>0</v>
      </c>
      <c r="I190" s="2">
        <f>G190 * D190</f>
        <v>0</v>
      </c>
      <c r="J190" s="4">
        <f>VLOOKUP(D190, Volume_Discounts!A:C, 3, TRUE)</f>
        <v>0</v>
      </c>
      <c r="K190" s="2">
        <f>I190 * (1 - J190)</f>
        <v>0</v>
      </c>
      <c r="L190" s="3">
        <f>H190 * D190</f>
        <v>0</v>
      </c>
      <c r="M190" s="2">
        <f>VLOOKUP(E190, Shipping_Zones!A:C, 2, FALSE)</f>
        <v>0</v>
      </c>
      <c r="N190" s="2">
        <f>VLOOKUP(E190, Shipping_Zones!A:C, 3, FALSE)</f>
        <v>0</v>
      </c>
      <c r="O190" s="2">
        <f>M190 + (N190 * L190)</f>
        <v>0</v>
      </c>
      <c r="P190" s="2">
        <f>(F190 * D190) + O190</f>
        <v>0</v>
      </c>
      <c r="Q190" s="2">
        <f>K190 - P190</f>
        <v>0</v>
      </c>
    </row>
    <row r="191" spans="1:17">
      <c r="A191" t="s">
        <v>325</v>
      </c>
      <c r="B191" t="s">
        <v>587</v>
      </c>
      <c r="C191" t="s">
        <v>16</v>
      </c>
      <c r="D191">
        <v>76</v>
      </c>
      <c r="E191" t="s">
        <v>114</v>
      </c>
      <c r="F191" s="2">
        <f>VLOOKUP(C191, Products!A:F, 4, FALSE)</f>
        <v>0</v>
      </c>
      <c r="G191" s="2">
        <f>VLOOKUP(C191, Products!A:F, 5, FALSE)</f>
        <v>0</v>
      </c>
      <c r="H191" s="3">
        <f>VLOOKUP(C191, Products!A:F, 6, FALSE)</f>
        <v>0</v>
      </c>
      <c r="I191" s="2">
        <f>G191 * D191</f>
        <v>0</v>
      </c>
      <c r="J191" s="4">
        <f>VLOOKUP(D191, Volume_Discounts!A:C, 3, TRUE)</f>
        <v>0</v>
      </c>
      <c r="K191" s="2">
        <f>I191 * (1 - J191)</f>
        <v>0</v>
      </c>
      <c r="L191" s="3">
        <f>H191 * D191</f>
        <v>0</v>
      </c>
      <c r="M191" s="2">
        <f>VLOOKUP(E191, Shipping_Zones!A:C, 2, FALSE)</f>
        <v>0</v>
      </c>
      <c r="N191" s="2">
        <f>VLOOKUP(E191, Shipping_Zones!A:C, 3, FALSE)</f>
        <v>0</v>
      </c>
      <c r="O191" s="2">
        <f>M191 + (N191 * L191)</f>
        <v>0</v>
      </c>
      <c r="P191" s="2">
        <f>(F191 * D191) + O191</f>
        <v>0</v>
      </c>
      <c r="Q191" s="2">
        <f>K191 - P191</f>
        <v>0</v>
      </c>
    </row>
    <row r="192" spans="1:17">
      <c r="A192" t="s">
        <v>326</v>
      </c>
      <c r="B192" t="s">
        <v>588</v>
      </c>
      <c r="C192" t="s">
        <v>55</v>
      </c>
      <c r="D192">
        <v>120</v>
      </c>
      <c r="E192" t="s">
        <v>114</v>
      </c>
      <c r="F192" s="2">
        <f>VLOOKUP(C192, Products!A:F, 4, FALSE)</f>
        <v>0</v>
      </c>
      <c r="G192" s="2">
        <f>VLOOKUP(C192, Products!A:F, 5, FALSE)</f>
        <v>0</v>
      </c>
      <c r="H192" s="3">
        <f>VLOOKUP(C192, Products!A:F, 6, FALSE)</f>
        <v>0</v>
      </c>
      <c r="I192" s="2">
        <f>G192 * D192</f>
        <v>0</v>
      </c>
      <c r="J192" s="4">
        <f>VLOOKUP(D192, Volume_Discounts!A:C, 3, TRUE)</f>
        <v>0</v>
      </c>
      <c r="K192" s="2">
        <f>I192 * (1 - J192)</f>
        <v>0</v>
      </c>
      <c r="L192" s="3">
        <f>H192 * D192</f>
        <v>0</v>
      </c>
      <c r="M192" s="2">
        <f>VLOOKUP(E192, Shipping_Zones!A:C, 2, FALSE)</f>
        <v>0</v>
      </c>
      <c r="N192" s="2">
        <f>VLOOKUP(E192, Shipping_Zones!A:C, 3, FALSE)</f>
        <v>0</v>
      </c>
      <c r="O192" s="2">
        <f>M192 + (N192 * L192)</f>
        <v>0</v>
      </c>
      <c r="P192" s="2">
        <f>(F192 * D192) + O192</f>
        <v>0</v>
      </c>
      <c r="Q192" s="2">
        <f>K192 - P192</f>
        <v>0</v>
      </c>
    </row>
    <row r="193" spans="1:17">
      <c r="A193" t="s">
        <v>327</v>
      </c>
      <c r="B193" t="s">
        <v>589</v>
      </c>
      <c r="C193" t="s">
        <v>25</v>
      </c>
      <c r="D193">
        <v>53</v>
      </c>
      <c r="E193" t="s">
        <v>116</v>
      </c>
      <c r="F193" s="2">
        <f>VLOOKUP(C193, Products!A:F, 4, FALSE)</f>
        <v>0</v>
      </c>
      <c r="G193" s="2">
        <f>VLOOKUP(C193, Products!A:F, 5, FALSE)</f>
        <v>0</v>
      </c>
      <c r="H193" s="3">
        <f>VLOOKUP(C193, Products!A:F, 6, FALSE)</f>
        <v>0</v>
      </c>
      <c r="I193" s="2">
        <f>G193 * D193</f>
        <v>0</v>
      </c>
      <c r="J193" s="4">
        <f>VLOOKUP(D193, Volume_Discounts!A:C, 3, TRUE)</f>
        <v>0</v>
      </c>
      <c r="K193" s="2">
        <f>I193 * (1 - J193)</f>
        <v>0</v>
      </c>
      <c r="L193" s="3">
        <f>H193 * D193</f>
        <v>0</v>
      </c>
      <c r="M193" s="2">
        <f>VLOOKUP(E193, Shipping_Zones!A:C, 2, FALSE)</f>
        <v>0</v>
      </c>
      <c r="N193" s="2">
        <f>VLOOKUP(E193, Shipping_Zones!A:C, 3, FALSE)</f>
        <v>0</v>
      </c>
      <c r="O193" s="2">
        <f>M193 + (N193 * L193)</f>
        <v>0</v>
      </c>
      <c r="P193" s="2">
        <f>(F193 * D193) + O193</f>
        <v>0</v>
      </c>
      <c r="Q193" s="2">
        <f>K193 - P193</f>
        <v>0</v>
      </c>
    </row>
    <row r="194" spans="1:17">
      <c r="A194" t="s">
        <v>328</v>
      </c>
      <c r="B194" t="s">
        <v>491</v>
      </c>
      <c r="C194" t="s">
        <v>32</v>
      </c>
      <c r="D194">
        <v>115</v>
      </c>
      <c r="E194" t="s">
        <v>117</v>
      </c>
      <c r="F194" s="2">
        <f>VLOOKUP(C194, Products!A:F, 4, FALSE)</f>
        <v>0</v>
      </c>
      <c r="G194" s="2">
        <f>VLOOKUP(C194, Products!A:F, 5, FALSE)</f>
        <v>0</v>
      </c>
      <c r="H194" s="3">
        <f>VLOOKUP(C194, Products!A:F, 6, FALSE)</f>
        <v>0</v>
      </c>
      <c r="I194" s="2">
        <f>G194 * D194</f>
        <v>0</v>
      </c>
      <c r="J194" s="4">
        <f>VLOOKUP(D194, Volume_Discounts!A:C, 3, TRUE)</f>
        <v>0</v>
      </c>
      <c r="K194" s="2">
        <f>I194 * (1 - J194)</f>
        <v>0</v>
      </c>
      <c r="L194" s="3">
        <f>H194 * D194</f>
        <v>0</v>
      </c>
      <c r="M194" s="2">
        <f>VLOOKUP(E194, Shipping_Zones!A:C, 2, FALSE)</f>
        <v>0</v>
      </c>
      <c r="N194" s="2">
        <f>VLOOKUP(E194, Shipping_Zones!A:C, 3, FALSE)</f>
        <v>0</v>
      </c>
      <c r="O194" s="2">
        <f>M194 + (N194 * L194)</f>
        <v>0</v>
      </c>
      <c r="P194" s="2">
        <f>(F194 * D194) + O194</f>
        <v>0</v>
      </c>
      <c r="Q194" s="2">
        <f>K194 - P194</f>
        <v>0</v>
      </c>
    </row>
    <row r="195" spans="1:17">
      <c r="A195" t="s">
        <v>329</v>
      </c>
      <c r="B195" t="s">
        <v>590</v>
      </c>
      <c r="C195" t="s">
        <v>10</v>
      </c>
      <c r="D195">
        <v>106</v>
      </c>
      <c r="E195" t="s">
        <v>116</v>
      </c>
      <c r="F195" s="2">
        <f>VLOOKUP(C195, Products!A:F, 4, FALSE)</f>
        <v>0</v>
      </c>
      <c r="G195" s="2">
        <f>VLOOKUP(C195, Products!A:F, 5, FALSE)</f>
        <v>0</v>
      </c>
      <c r="H195" s="3">
        <f>VLOOKUP(C195, Products!A:F, 6, FALSE)</f>
        <v>0</v>
      </c>
      <c r="I195" s="2">
        <f>G195 * D195</f>
        <v>0</v>
      </c>
      <c r="J195" s="4">
        <f>VLOOKUP(D195, Volume_Discounts!A:C, 3, TRUE)</f>
        <v>0</v>
      </c>
      <c r="K195" s="2">
        <f>I195 * (1 - J195)</f>
        <v>0</v>
      </c>
      <c r="L195" s="3">
        <f>H195 * D195</f>
        <v>0</v>
      </c>
      <c r="M195" s="2">
        <f>VLOOKUP(E195, Shipping_Zones!A:C, 2, FALSE)</f>
        <v>0</v>
      </c>
      <c r="N195" s="2">
        <f>VLOOKUP(E195, Shipping_Zones!A:C, 3, FALSE)</f>
        <v>0</v>
      </c>
      <c r="O195" s="2">
        <f>M195 + (N195 * L195)</f>
        <v>0</v>
      </c>
      <c r="P195" s="2">
        <f>(F195 * D195) + O195</f>
        <v>0</v>
      </c>
      <c r="Q195" s="2">
        <f>K195 - P195</f>
        <v>0</v>
      </c>
    </row>
    <row r="196" spans="1:17">
      <c r="A196" t="s">
        <v>330</v>
      </c>
      <c r="B196" t="s">
        <v>556</v>
      </c>
      <c r="C196" t="s">
        <v>48</v>
      </c>
      <c r="D196">
        <v>16</v>
      </c>
      <c r="E196" t="s">
        <v>115</v>
      </c>
      <c r="F196" s="2">
        <f>VLOOKUP(C196, Products!A:F, 4, FALSE)</f>
        <v>0</v>
      </c>
      <c r="G196" s="2">
        <f>VLOOKUP(C196, Products!A:F, 5, FALSE)</f>
        <v>0</v>
      </c>
      <c r="H196" s="3">
        <f>VLOOKUP(C196, Products!A:F, 6, FALSE)</f>
        <v>0</v>
      </c>
      <c r="I196" s="2">
        <f>G196 * D196</f>
        <v>0</v>
      </c>
      <c r="J196" s="4">
        <f>VLOOKUP(D196, Volume_Discounts!A:C, 3, TRUE)</f>
        <v>0</v>
      </c>
      <c r="K196" s="2">
        <f>I196 * (1 - J196)</f>
        <v>0</v>
      </c>
      <c r="L196" s="3">
        <f>H196 * D196</f>
        <v>0</v>
      </c>
      <c r="M196" s="2">
        <f>VLOOKUP(E196, Shipping_Zones!A:C, 2, FALSE)</f>
        <v>0</v>
      </c>
      <c r="N196" s="2">
        <f>VLOOKUP(E196, Shipping_Zones!A:C, 3, FALSE)</f>
        <v>0</v>
      </c>
      <c r="O196" s="2">
        <f>M196 + (N196 * L196)</f>
        <v>0</v>
      </c>
      <c r="P196" s="2">
        <f>(F196 * D196) + O196</f>
        <v>0</v>
      </c>
      <c r="Q196" s="2">
        <f>K196 - P196</f>
        <v>0</v>
      </c>
    </row>
    <row r="197" spans="1:17">
      <c r="A197" t="s">
        <v>331</v>
      </c>
      <c r="B197" t="s">
        <v>591</v>
      </c>
      <c r="C197" t="s">
        <v>31</v>
      </c>
      <c r="D197">
        <v>31</v>
      </c>
      <c r="E197" t="s">
        <v>116</v>
      </c>
      <c r="F197" s="2">
        <f>VLOOKUP(C197, Products!A:F, 4, FALSE)</f>
        <v>0</v>
      </c>
      <c r="G197" s="2">
        <f>VLOOKUP(C197, Products!A:F, 5, FALSE)</f>
        <v>0</v>
      </c>
      <c r="H197" s="3">
        <f>VLOOKUP(C197, Products!A:F, 6, FALSE)</f>
        <v>0</v>
      </c>
      <c r="I197" s="2">
        <f>G197 * D197</f>
        <v>0</v>
      </c>
      <c r="J197" s="4">
        <f>VLOOKUP(D197, Volume_Discounts!A:C, 3, TRUE)</f>
        <v>0</v>
      </c>
      <c r="K197" s="2">
        <f>I197 * (1 - J197)</f>
        <v>0</v>
      </c>
      <c r="L197" s="3">
        <f>H197 * D197</f>
        <v>0</v>
      </c>
      <c r="M197" s="2">
        <f>VLOOKUP(E197, Shipping_Zones!A:C, 2, FALSE)</f>
        <v>0</v>
      </c>
      <c r="N197" s="2">
        <f>VLOOKUP(E197, Shipping_Zones!A:C, 3, FALSE)</f>
        <v>0</v>
      </c>
      <c r="O197" s="2">
        <f>M197 + (N197 * L197)</f>
        <v>0</v>
      </c>
      <c r="P197" s="2">
        <f>(F197 * D197) + O197</f>
        <v>0</v>
      </c>
      <c r="Q197" s="2">
        <f>K197 - P197</f>
        <v>0</v>
      </c>
    </row>
    <row r="198" spans="1:17">
      <c r="A198" t="s">
        <v>332</v>
      </c>
      <c r="B198" t="s">
        <v>592</v>
      </c>
      <c r="C198" t="s">
        <v>26</v>
      </c>
      <c r="D198">
        <v>29</v>
      </c>
      <c r="E198" t="s">
        <v>114</v>
      </c>
      <c r="F198" s="2">
        <f>VLOOKUP(C198, Products!A:F, 4, FALSE)</f>
        <v>0</v>
      </c>
      <c r="G198" s="2">
        <f>VLOOKUP(C198, Products!A:F, 5, FALSE)</f>
        <v>0</v>
      </c>
      <c r="H198" s="3">
        <f>VLOOKUP(C198, Products!A:F, 6, FALSE)</f>
        <v>0</v>
      </c>
      <c r="I198" s="2">
        <f>G198 * D198</f>
        <v>0</v>
      </c>
      <c r="J198" s="4">
        <f>VLOOKUP(D198, Volume_Discounts!A:C, 3, TRUE)</f>
        <v>0</v>
      </c>
      <c r="K198" s="2">
        <f>I198 * (1 - J198)</f>
        <v>0</v>
      </c>
      <c r="L198" s="3">
        <f>H198 * D198</f>
        <v>0</v>
      </c>
      <c r="M198" s="2">
        <f>VLOOKUP(E198, Shipping_Zones!A:C, 2, FALSE)</f>
        <v>0</v>
      </c>
      <c r="N198" s="2">
        <f>VLOOKUP(E198, Shipping_Zones!A:C, 3, FALSE)</f>
        <v>0</v>
      </c>
      <c r="O198" s="2">
        <f>M198 + (N198 * L198)</f>
        <v>0</v>
      </c>
      <c r="P198" s="2">
        <f>(F198 * D198) + O198</f>
        <v>0</v>
      </c>
      <c r="Q198" s="2">
        <f>K198 - P198</f>
        <v>0</v>
      </c>
    </row>
    <row r="199" spans="1:17">
      <c r="A199" t="s">
        <v>333</v>
      </c>
      <c r="B199" t="s">
        <v>559</v>
      </c>
      <c r="C199" t="s">
        <v>11</v>
      </c>
      <c r="D199">
        <v>90</v>
      </c>
      <c r="E199" t="s">
        <v>116</v>
      </c>
      <c r="F199" s="2">
        <f>VLOOKUP(C199, Products!A:F, 4, FALSE)</f>
        <v>0</v>
      </c>
      <c r="G199" s="2">
        <f>VLOOKUP(C199, Products!A:F, 5, FALSE)</f>
        <v>0</v>
      </c>
      <c r="H199" s="3">
        <f>VLOOKUP(C199, Products!A:F, 6, FALSE)</f>
        <v>0</v>
      </c>
      <c r="I199" s="2">
        <f>G199 * D199</f>
        <v>0</v>
      </c>
      <c r="J199" s="4">
        <f>VLOOKUP(D199, Volume_Discounts!A:C, 3, TRUE)</f>
        <v>0</v>
      </c>
      <c r="K199" s="2">
        <f>I199 * (1 - J199)</f>
        <v>0</v>
      </c>
      <c r="L199" s="3">
        <f>H199 * D199</f>
        <v>0</v>
      </c>
      <c r="M199" s="2">
        <f>VLOOKUP(E199, Shipping_Zones!A:C, 2, FALSE)</f>
        <v>0</v>
      </c>
      <c r="N199" s="2">
        <f>VLOOKUP(E199, Shipping_Zones!A:C, 3, FALSE)</f>
        <v>0</v>
      </c>
      <c r="O199" s="2">
        <f>M199 + (N199 * L199)</f>
        <v>0</v>
      </c>
      <c r="P199" s="2">
        <f>(F199 * D199) + O199</f>
        <v>0</v>
      </c>
      <c r="Q199" s="2">
        <f>K199 - P199</f>
        <v>0</v>
      </c>
    </row>
    <row r="200" spans="1:17">
      <c r="A200" t="s">
        <v>334</v>
      </c>
      <c r="B200" t="s">
        <v>593</v>
      </c>
      <c r="C200" t="s">
        <v>10</v>
      </c>
      <c r="D200">
        <v>7</v>
      </c>
      <c r="E200" t="s">
        <v>116</v>
      </c>
      <c r="F200" s="2">
        <f>VLOOKUP(C200, Products!A:F, 4, FALSE)</f>
        <v>0</v>
      </c>
      <c r="G200" s="2">
        <f>VLOOKUP(C200, Products!A:F, 5, FALSE)</f>
        <v>0</v>
      </c>
      <c r="H200" s="3">
        <f>VLOOKUP(C200, Products!A:F, 6, FALSE)</f>
        <v>0</v>
      </c>
      <c r="I200" s="2">
        <f>G200 * D200</f>
        <v>0</v>
      </c>
      <c r="J200" s="4">
        <f>VLOOKUP(D200, Volume_Discounts!A:C, 3, TRUE)</f>
        <v>0</v>
      </c>
      <c r="K200" s="2">
        <f>I200 * (1 - J200)</f>
        <v>0</v>
      </c>
      <c r="L200" s="3">
        <f>H200 * D200</f>
        <v>0</v>
      </c>
      <c r="M200" s="2">
        <f>VLOOKUP(E200, Shipping_Zones!A:C, 2, FALSE)</f>
        <v>0</v>
      </c>
      <c r="N200" s="2">
        <f>VLOOKUP(E200, Shipping_Zones!A:C, 3, FALSE)</f>
        <v>0</v>
      </c>
      <c r="O200" s="2">
        <f>M200 + (N200 * L200)</f>
        <v>0</v>
      </c>
      <c r="P200" s="2">
        <f>(F200 * D200) + O200</f>
        <v>0</v>
      </c>
      <c r="Q200" s="2">
        <f>K200 - P200</f>
        <v>0</v>
      </c>
    </row>
    <row r="201" spans="1:17">
      <c r="A201" t="s">
        <v>335</v>
      </c>
      <c r="B201" t="s">
        <v>525</v>
      </c>
      <c r="C201" t="s">
        <v>51</v>
      </c>
      <c r="D201">
        <v>33</v>
      </c>
      <c r="E201" t="s">
        <v>115</v>
      </c>
      <c r="F201" s="2">
        <f>VLOOKUP(C201, Products!A:F, 4, FALSE)</f>
        <v>0</v>
      </c>
      <c r="G201" s="2">
        <f>VLOOKUP(C201, Products!A:F, 5, FALSE)</f>
        <v>0</v>
      </c>
      <c r="H201" s="3">
        <f>VLOOKUP(C201, Products!A:F, 6, FALSE)</f>
        <v>0</v>
      </c>
      <c r="I201" s="2">
        <f>G201 * D201</f>
        <v>0</v>
      </c>
      <c r="J201" s="4">
        <f>VLOOKUP(D201, Volume_Discounts!A:C, 3, TRUE)</f>
        <v>0</v>
      </c>
      <c r="K201" s="2">
        <f>I201 * (1 - J201)</f>
        <v>0</v>
      </c>
      <c r="L201" s="3">
        <f>H201 * D201</f>
        <v>0</v>
      </c>
      <c r="M201" s="2">
        <f>VLOOKUP(E201, Shipping_Zones!A:C, 2, FALSE)</f>
        <v>0</v>
      </c>
      <c r="N201" s="2">
        <f>VLOOKUP(E201, Shipping_Zones!A:C, 3, FALSE)</f>
        <v>0</v>
      </c>
      <c r="O201" s="2">
        <f>M201 + (N201 * L201)</f>
        <v>0</v>
      </c>
      <c r="P201" s="2">
        <f>(F201 * D201) + O201</f>
        <v>0</v>
      </c>
      <c r="Q201" s="2">
        <f>K201 - P201</f>
        <v>0</v>
      </c>
    </row>
    <row r="202" spans="1:17">
      <c r="A202" t="s">
        <v>336</v>
      </c>
      <c r="B202" t="s">
        <v>470</v>
      </c>
      <c r="C202" t="s">
        <v>23</v>
      </c>
      <c r="D202">
        <v>58</v>
      </c>
      <c r="E202" t="s">
        <v>114</v>
      </c>
      <c r="F202" s="2">
        <f>VLOOKUP(C202, Products!A:F, 4, FALSE)</f>
        <v>0</v>
      </c>
      <c r="G202" s="2">
        <f>VLOOKUP(C202, Products!A:F, 5, FALSE)</f>
        <v>0</v>
      </c>
      <c r="H202" s="3">
        <f>VLOOKUP(C202, Products!A:F, 6, FALSE)</f>
        <v>0</v>
      </c>
      <c r="I202" s="2">
        <f>G202 * D202</f>
        <v>0</v>
      </c>
      <c r="J202" s="4">
        <f>VLOOKUP(D202, Volume_Discounts!A:C, 3, TRUE)</f>
        <v>0</v>
      </c>
      <c r="K202" s="2">
        <f>I202 * (1 - J202)</f>
        <v>0</v>
      </c>
      <c r="L202" s="3">
        <f>H202 * D202</f>
        <v>0</v>
      </c>
      <c r="M202" s="2">
        <f>VLOOKUP(E202, Shipping_Zones!A:C, 2, FALSE)</f>
        <v>0</v>
      </c>
      <c r="N202" s="2">
        <f>VLOOKUP(E202, Shipping_Zones!A:C, 3, FALSE)</f>
        <v>0</v>
      </c>
      <c r="O202" s="2">
        <f>M202 + (N202 * L202)</f>
        <v>0</v>
      </c>
      <c r="P202" s="2">
        <f>(F202 * D202) + O202</f>
        <v>0</v>
      </c>
      <c r="Q202" s="2">
        <f>K202 - P202</f>
        <v>0</v>
      </c>
    </row>
    <row r="203" spans="1:17">
      <c r="A203" t="s">
        <v>337</v>
      </c>
      <c r="B203" t="s">
        <v>594</v>
      </c>
      <c r="C203" t="s">
        <v>19</v>
      </c>
      <c r="D203">
        <v>97</v>
      </c>
      <c r="E203" t="s">
        <v>116</v>
      </c>
      <c r="F203" s="2">
        <f>VLOOKUP(C203, Products!A:F, 4, FALSE)</f>
        <v>0</v>
      </c>
      <c r="G203" s="2">
        <f>VLOOKUP(C203, Products!A:F, 5, FALSE)</f>
        <v>0</v>
      </c>
      <c r="H203" s="3">
        <f>VLOOKUP(C203, Products!A:F, 6, FALSE)</f>
        <v>0</v>
      </c>
      <c r="I203" s="2">
        <f>G203 * D203</f>
        <v>0</v>
      </c>
      <c r="J203" s="4">
        <f>VLOOKUP(D203, Volume_Discounts!A:C, 3, TRUE)</f>
        <v>0</v>
      </c>
      <c r="K203" s="2">
        <f>I203 * (1 - J203)</f>
        <v>0</v>
      </c>
      <c r="L203" s="3">
        <f>H203 * D203</f>
        <v>0</v>
      </c>
      <c r="M203" s="2">
        <f>VLOOKUP(E203, Shipping_Zones!A:C, 2, FALSE)</f>
        <v>0</v>
      </c>
      <c r="N203" s="2">
        <f>VLOOKUP(E203, Shipping_Zones!A:C, 3, FALSE)</f>
        <v>0</v>
      </c>
      <c r="O203" s="2">
        <f>M203 + (N203 * L203)</f>
        <v>0</v>
      </c>
      <c r="P203" s="2">
        <f>(F203 * D203) + O203</f>
        <v>0</v>
      </c>
      <c r="Q203" s="2">
        <f>K203 - P203</f>
        <v>0</v>
      </c>
    </row>
    <row r="204" spans="1:17">
      <c r="A204" t="s">
        <v>338</v>
      </c>
      <c r="B204" t="s">
        <v>566</v>
      </c>
      <c r="C204" t="s">
        <v>11</v>
      </c>
      <c r="D204">
        <v>67</v>
      </c>
      <c r="E204" t="s">
        <v>114</v>
      </c>
      <c r="F204" s="2">
        <f>VLOOKUP(C204, Products!A:F, 4, FALSE)</f>
        <v>0</v>
      </c>
      <c r="G204" s="2">
        <f>VLOOKUP(C204, Products!A:F, 5, FALSE)</f>
        <v>0</v>
      </c>
      <c r="H204" s="3">
        <f>VLOOKUP(C204, Products!A:F, 6, FALSE)</f>
        <v>0</v>
      </c>
      <c r="I204" s="2">
        <f>G204 * D204</f>
        <v>0</v>
      </c>
      <c r="J204" s="4">
        <f>VLOOKUP(D204, Volume_Discounts!A:C, 3, TRUE)</f>
        <v>0</v>
      </c>
      <c r="K204" s="2">
        <f>I204 * (1 - J204)</f>
        <v>0</v>
      </c>
      <c r="L204" s="3">
        <f>H204 * D204</f>
        <v>0</v>
      </c>
      <c r="M204" s="2">
        <f>VLOOKUP(E204, Shipping_Zones!A:C, 2, FALSE)</f>
        <v>0</v>
      </c>
      <c r="N204" s="2">
        <f>VLOOKUP(E204, Shipping_Zones!A:C, 3, FALSE)</f>
        <v>0</v>
      </c>
      <c r="O204" s="2">
        <f>M204 + (N204 * L204)</f>
        <v>0</v>
      </c>
      <c r="P204" s="2">
        <f>(F204 * D204) + O204</f>
        <v>0</v>
      </c>
      <c r="Q204" s="2">
        <f>K204 - P204</f>
        <v>0</v>
      </c>
    </row>
    <row r="205" spans="1:17">
      <c r="A205" t="s">
        <v>339</v>
      </c>
      <c r="B205" t="s">
        <v>496</v>
      </c>
      <c r="C205" t="s">
        <v>23</v>
      </c>
      <c r="D205">
        <v>52</v>
      </c>
      <c r="E205" t="s">
        <v>114</v>
      </c>
      <c r="F205" s="2">
        <f>VLOOKUP(C205, Products!A:F, 4, FALSE)</f>
        <v>0</v>
      </c>
      <c r="G205" s="2">
        <f>VLOOKUP(C205, Products!A:F, 5, FALSE)</f>
        <v>0</v>
      </c>
      <c r="H205" s="3">
        <f>VLOOKUP(C205, Products!A:F, 6, FALSE)</f>
        <v>0</v>
      </c>
      <c r="I205" s="2">
        <f>G205 * D205</f>
        <v>0</v>
      </c>
      <c r="J205" s="4">
        <f>VLOOKUP(D205, Volume_Discounts!A:C, 3, TRUE)</f>
        <v>0</v>
      </c>
      <c r="K205" s="2">
        <f>I205 * (1 - J205)</f>
        <v>0</v>
      </c>
      <c r="L205" s="3">
        <f>H205 * D205</f>
        <v>0</v>
      </c>
      <c r="M205" s="2">
        <f>VLOOKUP(E205, Shipping_Zones!A:C, 2, FALSE)</f>
        <v>0</v>
      </c>
      <c r="N205" s="2">
        <f>VLOOKUP(E205, Shipping_Zones!A:C, 3, FALSE)</f>
        <v>0</v>
      </c>
      <c r="O205" s="2">
        <f>M205 + (N205 * L205)</f>
        <v>0</v>
      </c>
      <c r="P205" s="2">
        <f>(F205 * D205) + O205</f>
        <v>0</v>
      </c>
      <c r="Q205" s="2">
        <f>K205 - P205</f>
        <v>0</v>
      </c>
    </row>
    <row r="206" spans="1:17">
      <c r="A206" t="s">
        <v>340</v>
      </c>
      <c r="B206" t="s">
        <v>582</v>
      </c>
      <c r="C206" t="s">
        <v>13</v>
      </c>
      <c r="D206">
        <v>110</v>
      </c>
      <c r="E206" t="s">
        <v>114</v>
      </c>
      <c r="F206" s="2">
        <f>VLOOKUP(C206, Products!A:F, 4, FALSE)</f>
        <v>0</v>
      </c>
      <c r="G206" s="2">
        <f>VLOOKUP(C206, Products!A:F, 5, FALSE)</f>
        <v>0</v>
      </c>
      <c r="H206" s="3">
        <f>VLOOKUP(C206, Products!A:F, 6, FALSE)</f>
        <v>0</v>
      </c>
      <c r="I206" s="2">
        <f>G206 * D206</f>
        <v>0</v>
      </c>
      <c r="J206" s="4">
        <f>VLOOKUP(D206, Volume_Discounts!A:C, 3, TRUE)</f>
        <v>0</v>
      </c>
      <c r="K206" s="2">
        <f>I206 * (1 - J206)</f>
        <v>0</v>
      </c>
      <c r="L206" s="3">
        <f>H206 * D206</f>
        <v>0</v>
      </c>
      <c r="M206" s="2">
        <f>VLOOKUP(E206, Shipping_Zones!A:C, 2, FALSE)</f>
        <v>0</v>
      </c>
      <c r="N206" s="2">
        <f>VLOOKUP(E206, Shipping_Zones!A:C, 3, FALSE)</f>
        <v>0</v>
      </c>
      <c r="O206" s="2">
        <f>M206 + (N206 * L206)</f>
        <v>0</v>
      </c>
      <c r="P206" s="2">
        <f>(F206 * D206) + O206</f>
        <v>0</v>
      </c>
      <c r="Q206" s="2">
        <f>K206 - P206</f>
        <v>0</v>
      </c>
    </row>
    <row r="207" spans="1:17">
      <c r="A207" t="s">
        <v>341</v>
      </c>
      <c r="B207" t="s">
        <v>595</v>
      </c>
      <c r="C207" t="s">
        <v>30</v>
      </c>
      <c r="D207">
        <v>18</v>
      </c>
      <c r="E207" t="s">
        <v>115</v>
      </c>
      <c r="F207" s="2">
        <f>VLOOKUP(C207, Products!A:F, 4, FALSE)</f>
        <v>0</v>
      </c>
      <c r="G207" s="2">
        <f>VLOOKUP(C207, Products!A:F, 5, FALSE)</f>
        <v>0</v>
      </c>
      <c r="H207" s="3">
        <f>VLOOKUP(C207, Products!A:F, 6, FALSE)</f>
        <v>0</v>
      </c>
      <c r="I207" s="2">
        <f>G207 * D207</f>
        <v>0</v>
      </c>
      <c r="J207" s="4">
        <f>VLOOKUP(D207, Volume_Discounts!A:C, 3, TRUE)</f>
        <v>0</v>
      </c>
      <c r="K207" s="2">
        <f>I207 * (1 - J207)</f>
        <v>0</v>
      </c>
      <c r="L207" s="3">
        <f>H207 * D207</f>
        <v>0</v>
      </c>
      <c r="M207" s="2">
        <f>VLOOKUP(E207, Shipping_Zones!A:C, 2, FALSE)</f>
        <v>0</v>
      </c>
      <c r="N207" s="2">
        <f>VLOOKUP(E207, Shipping_Zones!A:C, 3, FALSE)</f>
        <v>0</v>
      </c>
      <c r="O207" s="2">
        <f>M207 + (N207 * L207)</f>
        <v>0</v>
      </c>
      <c r="P207" s="2">
        <f>(F207 * D207) + O207</f>
        <v>0</v>
      </c>
      <c r="Q207" s="2">
        <f>K207 - P207</f>
        <v>0</v>
      </c>
    </row>
    <row r="208" spans="1:17">
      <c r="A208" t="s">
        <v>342</v>
      </c>
      <c r="B208" t="s">
        <v>596</v>
      </c>
      <c r="C208" t="s">
        <v>17</v>
      </c>
      <c r="D208">
        <v>54</v>
      </c>
      <c r="E208" t="s">
        <v>114</v>
      </c>
      <c r="F208" s="2">
        <f>VLOOKUP(C208, Products!A:F, 4, FALSE)</f>
        <v>0</v>
      </c>
      <c r="G208" s="2">
        <f>VLOOKUP(C208, Products!A:F, 5, FALSE)</f>
        <v>0</v>
      </c>
      <c r="H208" s="3">
        <f>VLOOKUP(C208, Products!A:F, 6, FALSE)</f>
        <v>0</v>
      </c>
      <c r="I208" s="2">
        <f>G208 * D208</f>
        <v>0</v>
      </c>
      <c r="J208" s="4">
        <f>VLOOKUP(D208, Volume_Discounts!A:C, 3, TRUE)</f>
        <v>0</v>
      </c>
      <c r="K208" s="2">
        <f>I208 * (1 - J208)</f>
        <v>0</v>
      </c>
      <c r="L208" s="3">
        <f>H208 * D208</f>
        <v>0</v>
      </c>
      <c r="M208" s="2">
        <f>VLOOKUP(E208, Shipping_Zones!A:C, 2, FALSE)</f>
        <v>0</v>
      </c>
      <c r="N208" s="2">
        <f>VLOOKUP(E208, Shipping_Zones!A:C, 3, FALSE)</f>
        <v>0</v>
      </c>
      <c r="O208" s="2">
        <f>M208 + (N208 * L208)</f>
        <v>0</v>
      </c>
      <c r="P208" s="2">
        <f>(F208 * D208) + O208</f>
        <v>0</v>
      </c>
      <c r="Q208" s="2">
        <f>K208 - P208</f>
        <v>0</v>
      </c>
    </row>
    <row r="209" spans="1:17">
      <c r="A209" t="s">
        <v>343</v>
      </c>
      <c r="B209" t="s">
        <v>597</v>
      </c>
      <c r="C209" t="s">
        <v>53</v>
      </c>
      <c r="D209">
        <v>32</v>
      </c>
      <c r="E209" t="s">
        <v>115</v>
      </c>
      <c r="F209" s="2">
        <f>VLOOKUP(C209, Products!A:F, 4, FALSE)</f>
        <v>0</v>
      </c>
      <c r="G209" s="2">
        <f>VLOOKUP(C209, Products!A:F, 5, FALSE)</f>
        <v>0</v>
      </c>
      <c r="H209" s="3">
        <f>VLOOKUP(C209, Products!A:F, 6, FALSE)</f>
        <v>0</v>
      </c>
      <c r="I209" s="2">
        <f>G209 * D209</f>
        <v>0</v>
      </c>
      <c r="J209" s="4">
        <f>VLOOKUP(D209, Volume_Discounts!A:C, 3, TRUE)</f>
        <v>0</v>
      </c>
      <c r="K209" s="2">
        <f>I209 * (1 - J209)</f>
        <v>0</v>
      </c>
      <c r="L209" s="3">
        <f>H209 * D209</f>
        <v>0</v>
      </c>
      <c r="M209" s="2">
        <f>VLOOKUP(E209, Shipping_Zones!A:C, 2, FALSE)</f>
        <v>0</v>
      </c>
      <c r="N209" s="2">
        <f>VLOOKUP(E209, Shipping_Zones!A:C, 3, FALSE)</f>
        <v>0</v>
      </c>
      <c r="O209" s="2">
        <f>M209 + (N209 * L209)</f>
        <v>0</v>
      </c>
      <c r="P209" s="2">
        <f>(F209 * D209) + O209</f>
        <v>0</v>
      </c>
      <c r="Q209" s="2">
        <f>K209 - P209</f>
        <v>0</v>
      </c>
    </row>
    <row r="210" spans="1:17">
      <c r="A210" t="s">
        <v>344</v>
      </c>
      <c r="B210" t="s">
        <v>466</v>
      </c>
      <c r="C210" t="s">
        <v>14</v>
      </c>
      <c r="D210">
        <v>107</v>
      </c>
      <c r="E210" t="s">
        <v>116</v>
      </c>
      <c r="F210" s="2">
        <f>VLOOKUP(C210, Products!A:F, 4, FALSE)</f>
        <v>0</v>
      </c>
      <c r="G210" s="2">
        <f>VLOOKUP(C210, Products!A:F, 5, FALSE)</f>
        <v>0</v>
      </c>
      <c r="H210" s="3">
        <f>VLOOKUP(C210, Products!A:F, 6, FALSE)</f>
        <v>0</v>
      </c>
      <c r="I210" s="2">
        <f>G210 * D210</f>
        <v>0</v>
      </c>
      <c r="J210" s="4">
        <f>VLOOKUP(D210, Volume_Discounts!A:C, 3, TRUE)</f>
        <v>0</v>
      </c>
      <c r="K210" s="2">
        <f>I210 * (1 - J210)</f>
        <v>0</v>
      </c>
      <c r="L210" s="3">
        <f>H210 * D210</f>
        <v>0</v>
      </c>
      <c r="M210" s="2">
        <f>VLOOKUP(E210, Shipping_Zones!A:C, 2, FALSE)</f>
        <v>0</v>
      </c>
      <c r="N210" s="2">
        <f>VLOOKUP(E210, Shipping_Zones!A:C, 3, FALSE)</f>
        <v>0</v>
      </c>
      <c r="O210" s="2">
        <f>M210 + (N210 * L210)</f>
        <v>0</v>
      </c>
      <c r="P210" s="2">
        <f>(F210 * D210) + O210</f>
        <v>0</v>
      </c>
      <c r="Q210" s="2">
        <f>K210 - P210</f>
        <v>0</v>
      </c>
    </row>
    <row r="211" spans="1:17">
      <c r="A211" t="s">
        <v>345</v>
      </c>
      <c r="B211" t="s">
        <v>598</v>
      </c>
      <c r="C211" t="s">
        <v>47</v>
      </c>
      <c r="D211">
        <v>43</v>
      </c>
      <c r="E211" t="s">
        <v>115</v>
      </c>
      <c r="F211" s="2">
        <f>VLOOKUP(C211, Products!A:F, 4, FALSE)</f>
        <v>0</v>
      </c>
      <c r="G211" s="2">
        <f>VLOOKUP(C211, Products!A:F, 5, FALSE)</f>
        <v>0</v>
      </c>
      <c r="H211" s="3">
        <f>VLOOKUP(C211, Products!A:F, 6, FALSE)</f>
        <v>0</v>
      </c>
      <c r="I211" s="2">
        <f>G211 * D211</f>
        <v>0</v>
      </c>
      <c r="J211" s="4">
        <f>VLOOKUP(D211, Volume_Discounts!A:C, 3, TRUE)</f>
        <v>0</v>
      </c>
      <c r="K211" s="2">
        <f>I211 * (1 - J211)</f>
        <v>0</v>
      </c>
      <c r="L211" s="3">
        <f>H211 * D211</f>
        <v>0</v>
      </c>
      <c r="M211" s="2">
        <f>VLOOKUP(E211, Shipping_Zones!A:C, 2, FALSE)</f>
        <v>0</v>
      </c>
      <c r="N211" s="2">
        <f>VLOOKUP(E211, Shipping_Zones!A:C, 3, FALSE)</f>
        <v>0</v>
      </c>
      <c r="O211" s="2">
        <f>M211 + (N211 * L211)</f>
        <v>0</v>
      </c>
      <c r="P211" s="2">
        <f>(F211 * D211) + O211</f>
        <v>0</v>
      </c>
      <c r="Q211" s="2">
        <f>K211 - P211</f>
        <v>0</v>
      </c>
    </row>
    <row r="212" spans="1:17">
      <c r="A212" t="s">
        <v>346</v>
      </c>
      <c r="B212" t="s">
        <v>599</v>
      </c>
      <c r="C212" t="s">
        <v>46</v>
      </c>
      <c r="D212">
        <v>81</v>
      </c>
      <c r="E212" t="s">
        <v>115</v>
      </c>
      <c r="F212" s="2">
        <f>VLOOKUP(C212, Products!A:F, 4, FALSE)</f>
        <v>0</v>
      </c>
      <c r="G212" s="2">
        <f>VLOOKUP(C212, Products!A:F, 5, FALSE)</f>
        <v>0</v>
      </c>
      <c r="H212" s="3">
        <f>VLOOKUP(C212, Products!A:F, 6, FALSE)</f>
        <v>0</v>
      </c>
      <c r="I212" s="2">
        <f>G212 * D212</f>
        <v>0</v>
      </c>
      <c r="J212" s="4">
        <f>VLOOKUP(D212, Volume_Discounts!A:C, 3, TRUE)</f>
        <v>0</v>
      </c>
      <c r="K212" s="2">
        <f>I212 * (1 - J212)</f>
        <v>0</v>
      </c>
      <c r="L212" s="3">
        <f>H212 * D212</f>
        <v>0</v>
      </c>
      <c r="M212" s="2">
        <f>VLOOKUP(E212, Shipping_Zones!A:C, 2, FALSE)</f>
        <v>0</v>
      </c>
      <c r="N212" s="2">
        <f>VLOOKUP(E212, Shipping_Zones!A:C, 3, FALSE)</f>
        <v>0</v>
      </c>
      <c r="O212" s="2">
        <f>M212 + (N212 * L212)</f>
        <v>0</v>
      </c>
      <c r="P212" s="2">
        <f>(F212 * D212) + O212</f>
        <v>0</v>
      </c>
      <c r="Q212" s="2">
        <f>K212 - P212</f>
        <v>0</v>
      </c>
    </row>
    <row r="213" spans="1:17">
      <c r="A213" t="s">
        <v>347</v>
      </c>
      <c r="B213" t="s">
        <v>600</v>
      </c>
      <c r="C213" t="s">
        <v>10</v>
      </c>
      <c r="D213">
        <v>78</v>
      </c>
      <c r="E213" t="s">
        <v>116</v>
      </c>
      <c r="F213" s="2">
        <f>VLOOKUP(C213, Products!A:F, 4, FALSE)</f>
        <v>0</v>
      </c>
      <c r="G213" s="2">
        <f>VLOOKUP(C213, Products!A:F, 5, FALSE)</f>
        <v>0</v>
      </c>
      <c r="H213" s="3">
        <f>VLOOKUP(C213, Products!A:F, 6, FALSE)</f>
        <v>0</v>
      </c>
      <c r="I213" s="2">
        <f>G213 * D213</f>
        <v>0</v>
      </c>
      <c r="J213" s="4">
        <f>VLOOKUP(D213, Volume_Discounts!A:C, 3, TRUE)</f>
        <v>0</v>
      </c>
      <c r="K213" s="2">
        <f>I213 * (1 - J213)</f>
        <v>0</v>
      </c>
      <c r="L213" s="3">
        <f>H213 * D213</f>
        <v>0</v>
      </c>
      <c r="M213" s="2">
        <f>VLOOKUP(E213, Shipping_Zones!A:C, 2, FALSE)</f>
        <v>0</v>
      </c>
      <c r="N213" s="2">
        <f>VLOOKUP(E213, Shipping_Zones!A:C, 3, FALSE)</f>
        <v>0</v>
      </c>
      <c r="O213" s="2">
        <f>M213 + (N213 * L213)</f>
        <v>0</v>
      </c>
      <c r="P213" s="2">
        <f>(F213 * D213) + O213</f>
        <v>0</v>
      </c>
      <c r="Q213" s="2">
        <f>K213 - P213</f>
        <v>0</v>
      </c>
    </row>
    <row r="214" spans="1:17">
      <c r="A214" t="s">
        <v>348</v>
      </c>
      <c r="B214" t="s">
        <v>601</v>
      </c>
      <c r="C214" t="s">
        <v>19</v>
      </c>
      <c r="D214">
        <v>88</v>
      </c>
      <c r="E214" t="s">
        <v>117</v>
      </c>
      <c r="F214" s="2">
        <f>VLOOKUP(C214, Products!A:F, 4, FALSE)</f>
        <v>0</v>
      </c>
      <c r="G214" s="2">
        <f>VLOOKUP(C214, Products!A:F, 5, FALSE)</f>
        <v>0</v>
      </c>
      <c r="H214" s="3">
        <f>VLOOKUP(C214, Products!A:F, 6, FALSE)</f>
        <v>0</v>
      </c>
      <c r="I214" s="2">
        <f>G214 * D214</f>
        <v>0</v>
      </c>
      <c r="J214" s="4">
        <f>VLOOKUP(D214, Volume_Discounts!A:C, 3, TRUE)</f>
        <v>0</v>
      </c>
      <c r="K214" s="2">
        <f>I214 * (1 - J214)</f>
        <v>0</v>
      </c>
      <c r="L214" s="3">
        <f>H214 * D214</f>
        <v>0</v>
      </c>
      <c r="M214" s="2">
        <f>VLOOKUP(E214, Shipping_Zones!A:C, 2, FALSE)</f>
        <v>0</v>
      </c>
      <c r="N214" s="2">
        <f>VLOOKUP(E214, Shipping_Zones!A:C, 3, FALSE)</f>
        <v>0</v>
      </c>
      <c r="O214" s="2">
        <f>M214 + (N214 * L214)</f>
        <v>0</v>
      </c>
      <c r="P214" s="2">
        <f>(F214 * D214) + O214</f>
        <v>0</v>
      </c>
      <c r="Q214" s="2">
        <f>K214 - P214</f>
        <v>0</v>
      </c>
    </row>
    <row r="215" spans="1:17">
      <c r="A215" t="s">
        <v>349</v>
      </c>
      <c r="B215" t="s">
        <v>602</v>
      </c>
      <c r="C215" t="s">
        <v>51</v>
      </c>
      <c r="D215">
        <v>99</v>
      </c>
      <c r="E215" t="s">
        <v>117</v>
      </c>
      <c r="F215" s="2">
        <f>VLOOKUP(C215, Products!A:F, 4, FALSE)</f>
        <v>0</v>
      </c>
      <c r="G215" s="2">
        <f>VLOOKUP(C215, Products!A:F, 5, FALSE)</f>
        <v>0</v>
      </c>
      <c r="H215" s="3">
        <f>VLOOKUP(C215, Products!A:F, 6, FALSE)</f>
        <v>0</v>
      </c>
      <c r="I215" s="2">
        <f>G215 * D215</f>
        <v>0</v>
      </c>
      <c r="J215" s="4">
        <f>VLOOKUP(D215, Volume_Discounts!A:C, 3, TRUE)</f>
        <v>0</v>
      </c>
      <c r="K215" s="2">
        <f>I215 * (1 - J215)</f>
        <v>0</v>
      </c>
      <c r="L215" s="3">
        <f>H215 * D215</f>
        <v>0</v>
      </c>
      <c r="M215" s="2">
        <f>VLOOKUP(E215, Shipping_Zones!A:C, 2, FALSE)</f>
        <v>0</v>
      </c>
      <c r="N215" s="2">
        <f>VLOOKUP(E215, Shipping_Zones!A:C, 3, FALSE)</f>
        <v>0</v>
      </c>
      <c r="O215" s="2">
        <f>M215 + (N215 * L215)</f>
        <v>0</v>
      </c>
      <c r="P215" s="2">
        <f>(F215 * D215) + O215</f>
        <v>0</v>
      </c>
      <c r="Q215" s="2">
        <f>K215 - P215</f>
        <v>0</v>
      </c>
    </row>
    <row r="216" spans="1:17">
      <c r="A216" t="s">
        <v>350</v>
      </c>
      <c r="B216" t="s">
        <v>526</v>
      </c>
      <c r="C216" t="s">
        <v>6</v>
      </c>
      <c r="D216">
        <v>48</v>
      </c>
      <c r="E216" t="s">
        <v>116</v>
      </c>
      <c r="F216" s="2">
        <f>VLOOKUP(C216, Products!A:F, 4, FALSE)</f>
        <v>0</v>
      </c>
      <c r="G216" s="2">
        <f>VLOOKUP(C216, Products!A:F, 5, FALSE)</f>
        <v>0</v>
      </c>
      <c r="H216" s="3">
        <f>VLOOKUP(C216, Products!A:F, 6, FALSE)</f>
        <v>0</v>
      </c>
      <c r="I216" s="2">
        <f>G216 * D216</f>
        <v>0</v>
      </c>
      <c r="J216" s="4">
        <f>VLOOKUP(D216, Volume_Discounts!A:C, 3, TRUE)</f>
        <v>0</v>
      </c>
      <c r="K216" s="2">
        <f>I216 * (1 - J216)</f>
        <v>0</v>
      </c>
      <c r="L216" s="3">
        <f>H216 * D216</f>
        <v>0</v>
      </c>
      <c r="M216" s="2">
        <f>VLOOKUP(E216, Shipping_Zones!A:C, 2, FALSE)</f>
        <v>0</v>
      </c>
      <c r="N216" s="2">
        <f>VLOOKUP(E216, Shipping_Zones!A:C, 3, FALSE)</f>
        <v>0</v>
      </c>
      <c r="O216" s="2">
        <f>M216 + (N216 * L216)</f>
        <v>0</v>
      </c>
      <c r="P216" s="2">
        <f>(F216 * D216) + O216</f>
        <v>0</v>
      </c>
      <c r="Q216" s="2">
        <f>K216 - P216</f>
        <v>0</v>
      </c>
    </row>
    <row r="217" spans="1:17">
      <c r="A217" t="s">
        <v>351</v>
      </c>
      <c r="B217" t="s">
        <v>565</v>
      </c>
      <c r="C217" t="s">
        <v>19</v>
      </c>
      <c r="D217">
        <v>41</v>
      </c>
      <c r="E217" t="s">
        <v>116</v>
      </c>
      <c r="F217" s="2">
        <f>VLOOKUP(C217, Products!A:F, 4, FALSE)</f>
        <v>0</v>
      </c>
      <c r="G217" s="2">
        <f>VLOOKUP(C217, Products!A:F, 5, FALSE)</f>
        <v>0</v>
      </c>
      <c r="H217" s="3">
        <f>VLOOKUP(C217, Products!A:F, 6, FALSE)</f>
        <v>0</v>
      </c>
      <c r="I217" s="2">
        <f>G217 * D217</f>
        <v>0</v>
      </c>
      <c r="J217" s="4">
        <f>VLOOKUP(D217, Volume_Discounts!A:C, 3, TRUE)</f>
        <v>0</v>
      </c>
      <c r="K217" s="2">
        <f>I217 * (1 - J217)</f>
        <v>0</v>
      </c>
      <c r="L217" s="3">
        <f>H217 * D217</f>
        <v>0</v>
      </c>
      <c r="M217" s="2">
        <f>VLOOKUP(E217, Shipping_Zones!A:C, 2, FALSE)</f>
        <v>0</v>
      </c>
      <c r="N217" s="2">
        <f>VLOOKUP(E217, Shipping_Zones!A:C, 3, FALSE)</f>
        <v>0</v>
      </c>
      <c r="O217" s="2">
        <f>M217 + (N217 * L217)</f>
        <v>0</v>
      </c>
      <c r="P217" s="2">
        <f>(F217 * D217) + O217</f>
        <v>0</v>
      </c>
      <c r="Q217" s="2">
        <f>K217 - P217</f>
        <v>0</v>
      </c>
    </row>
    <row r="218" spans="1:17">
      <c r="A218" t="s">
        <v>352</v>
      </c>
      <c r="B218" t="s">
        <v>603</v>
      </c>
      <c r="C218" t="s">
        <v>19</v>
      </c>
      <c r="D218">
        <v>40</v>
      </c>
      <c r="E218" t="s">
        <v>116</v>
      </c>
      <c r="F218" s="2">
        <f>VLOOKUP(C218, Products!A:F, 4, FALSE)</f>
        <v>0</v>
      </c>
      <c r="G218" s="2">
        <f>VLOOKUP(C218, Products!A:F, 5, FALSE)</f>
        <v>0</v>
      </c>
      <c r="H218" s="3">
        <f>VLOOKUP(C218, Products!A:F, 6, FALSE)</f>
        <v>0</v>
      </c>
      <c r="I218" s="2">
        <f>G218 * D218</f>
        <v>0</v>
      </c>
      <c r="J218" s="4">
        <f>VLOOKUP(D218, Volume_Discounts!A:C, 3, TRUE)</f>
        <v>0</v>
      </c>
      <c r="K218" s="2">
        <f>I218 * (1 - J218)</f>
        <v>0</v>
      </c>
      <c r="L218" s="3">
        <f>H218 * D218</f>
        <v>0</v>
      </c>
      <c r="M218" s="2">
        <f>VLOOKUP(E218, Shipping_Zones!A:C, 2, FALSE)</f>
        <v>0</v>
      </c>
      <c r="N218" s="2">
        <f>VLOOKUP(E218, Shipping_Zones!A:C, 3, FALSE)</f>
        <v>0</v>
      </c>
      <c r="O218" s="2">
        <f>M218 + (N218 * L218)</f>
        <v>0</v>
      </c>
      <c r="P218" s="2">
        <f>(F218 * D218) + O218</f>
        <v>0</v>
      </c>
      <c r="Q218" s="2">
        <f>K218 - P218</f>
        <v>0</v>
      </c>
    </row>
    <row r="219" spans="1:17">
      <c r="A219" t="s">
        <v>353</v>
      </c>
      <c r="B219" t="s">
        <v>604</v>
      </c>
      <c r="C219" t="s">
        <v>35</v>
      </c>
      <c r="D219">
        <v>1</v>
      </c>
      <c r="E219" t="s">
        <v>116</v>
      </c>
      <c r="F219" s="2">
        <f>VLOOKUP(C219, Products!A:F, 4, FALSE)</f>
        <v>0</v>
      </c>
      <c r="G219" s="2">
        <f>VLOOKUP(C219, Products!A:F, 5, FALSE)</f>
        <v>0</v>
      </c>
      <c r="H219" s="3">
        <f>VLOOKUP(C219, Products!A:F, 6, FALSE)</f>
        <v>0</v>
      </c>
      <c r="I219" s="2">
        <f>G219 * D219</f>
        <v>0</v>
      </c>
      <c r="J219" s="4">
        <f>VLOOKUP(D219, Volume_Discounts!A:C, 3, TRUE)</f>
        <v>0</v>
      </c>
      <c r="K219" s="2">
        <f>I219 * (1 - J219)</f>
        <v>0</v>
      </c>
      <c r="L219" s="3">
        <f>H219 * D219</f>
        <v>0</v>
      </c>
      <c r="M219" s="2">
        <f>VLOOKUP(E219, Shipping_Zones!A:C, 2, FALSE)</f>
        <v>0</v>
      </c>
      <c r="N219" s="2">
        <f>VLOOKUP(E219, Shipping_Zones!A:C, 3, FALSE)</f>
        <v>0</v>
      </c>
      <c r="O219" s="2">
        <f>M219 + (N219 * L219)</f>
        <v>0</v>
      </c>
      <c r="P219" s="2">
        <f>(F219 * D219) + O219</f>
        <v>0</v>
      </c>
      <c r="Q219" s="2">
        <f>K219 - P219</f>
        <v>0</v>
      </c>
    </row>
    <row r="220" spans="1:17">
      <c r="A220" t="s">
        <v>354</v>
      </c>
      <c r="B220" t="s">
        <v>557</v>
      </c>
      <c r="C220" t="s">
        <v>37</v>
      </c>
      <c r="D220">
        <v>63</v>
      </c>
      <c r="E220" t="s">
        <v>114</v>
      </c>
      <c r="F220" s="2">
        <f>VLOOKUP(C220, Products!A:F, 4, FALSE)</f>
        <v>0</v>
      </c>
      <c r="G220" s="2">
        <f>VLOOKUP(C220, Products!A:F, 5, FALSE)</f>
        <v>0</v>
      </c>
      <c r="H220" s="3">
        <f>VLOOKUP(C220, Products!A:F, 6, FALSE)</f>
        <v>0</v>
      </c>
      <c r="I220" s="2">
        <f>G220 * D220</f>
        <v>0</v>
      </c>
      <c r="J220" s="4">
        <f>VLOOKUP(D220, Volume_Discounts!A:C, 3, TRUE)</f>
        <v>0</v>
      </c>
      <c r="K220" s="2">
        <f>I220 * (1 - J220)</f>
        <v>0</v>
      </c>
      <c r="L220" s="3">
        <f>H220 * D220</f>
        <v>0</v>
      </c>
      <c r="M220" s="2">
        <f>VLOOKUP(E220, Shipping_Zones!A:C, 2, FALSE)</f>
        <v>0</v>
      </c>
      <c r="N220" s="2">
        <f>VLOOKUP(E220, Shipping_Zones!A:C, 3, FALSE)</f>
        <v>0</v>
      </c>
      <c r="O220" s="2">
        <f>M220 + (N220 * L220)</f>
        <v>0</v>
      </c>
      <c r="P220" s="2">
        <f>(F220 * D220) + O220</f>
        <v>0</v>
      </c>
      <c r="Q220" s="2">
        <f>K220 - P220</f>
        <v>0</v>
      </c>
    </row>
    <row r="221" spans="1:17">
      <c r="A221" t="s">
        <v>355</v>
      </c>
      <c r="B221" t="s">
        <v>578</v>
      </c>
      <c r="C221" t="s">
        <v>24</v>
      </c>
      <c r="D221">
        <v>11</v>
      </c>
      <c r="E221" t="s">
        <v>114</v>
      </c>
      <c r="F221" s="2">
        <f>VLOOKUP(C221, Products!A:F, 4, FALSE)</f>
        <v>0</v>
      </c>
      <c r="G221" s="2">
        <f>VLOOKUP(C221, Products!A:F, 5, FALSE)</f>
        <v>0</v>
      </c>
      <c r="H221" s="3">
        <f>VLOOKUP(C221, Products!A:F, 6, FALSE)</f>
        <v>0</v>
      </c>
      <c r="I221" s="2">
        <f>G221 * D221</f>
        <v>0</v>
      </c>
      <c r="J221" s="4">
        <f>VLOOKUP(D221, Volume_Discounts!A:C, 3, TRUE)</f>
        <v>0</v>
      </c>
      <c r="K221" s="2">
        <f>I221 * (1 - J221)</f>
        <v>0</v>
      </c>
      <c r="L221" s="3">
        <f>H221 * D221</f>
        <v>0</v>
      </c>
      <c r="M221" s="2">
        <f>VLOOKUP(E221, Shipping_Zones!A:C, 2, FALSE)</f>
        <v>0</v>
      </c>
      <c r="N221" s="2">
        <f>VLOOKUP(E221, Shipping_Zones!A:C, 3, FALSE)</f>
        <v>0</v>
      </c>
      <c r="O221" s="2">
        <f>M221 + (N221 * L221)</f>
        <v>0</v>
      </c>
      <c r="P221" s="2">
        <f>(F221 * D221) + O221</f>
        <v>0</v>
      </c>
      <c r="Q221" s="2">
        <f>K221 - P221</f>
        <v>0</v>
      </c>
    </row>
    <row r="222" spans="1:17">
      <c r="A222" t="s">
        <v>356</v>
      </c>
      <c r="B222" t="s">
        <v>605</v>
      </c>
      <c r="C222" t="s">
        <v>35</v>
      </c>
      <c r="D222">
        <v>95</v>
      </c>
      <c r="E222" t="s">
        <v>116</v>
      </c>
      <c r="F222" s="2">
        <f>VLOOKUP(C222, Products!A:F, 4, FALSE)</f>
        <v>0</v>
      </c>
      <c r="G222" s="2">
        <f>VLOOKUP(C222, Products!A:F, 5, FALSE)</f>
        <v>0</v>
      </c>
      <c r="H222" s="3">
        <f>VLOOKUP(C222, Products!A:F, 6, FALSE)</f>
        <v>0</v>
      </c>
      <c r="I222" s="2">
        <f>G222 * D222</f>
        <v>0</v>
      </c>
      <c r="J222" s="4">
        <f>VLOOKUP(D222, Volume_Discounts!A:C, 3, TRUE)</f>
        <v>0</v>
      </c>
      <c r="K222" s="2">
        <f>I222 * (1 - J222)</f>
        <v>0</v>
      </c>
      <c r="L222" s="3">
        <f>H222 * D222</f>
        <v>0</v>
      </c>
      <c r="M222" s="2">
        <f>VLOOKUP(E222, Shipping_Zones!A:C, 2, FALSE)</f>
        <v>0</v>
      </c>
      <c r="N222" s="2">
        <f>VLOOKUP(E222, Shipping_Zones!A:C, 3, FALSE)</f>
        <v>0</v>
      </c>
      <c r="O222" s="2">
        <f>M222 + (N222 * L222)</f>
        <v>0</v>
      </c>
      <c r="P222" s="2">
        <f>(F222 * D222) + O222</f>
        <v>0</v>
      </c>
      <c r="Q222" s="2">
        <f>K222 - P222</f>
        <v>0</v>
      </c>
    </row>
    <row r="223" spans="1:17">
      <c r="A223" t="s">
        <v>357</v>
      </c>
      <c r="B223" t="s">
        <v>585</v>
      </c>
      <c r="C223" t="s">
        <v>14</v>
      </c>
      <c r="D223">
        <v>6</v>
      </c>
      <c r="E223" t="s">
        <v>117</v>
      </c>
      <c r="F223" s="2">
        <f>VLOOKUP(C223, Products!A:F, 4, FALSE)</f>
        <v>0</v>
      </c>
      <c r="G223" s="2">
        <f>VLOOKUP(C223, Products!A:F, 5, FALSE)</f>
        <v>0</v>
      </c>
      <c r="H223" s="3">
        <f>VLOOKUP(C223, Products!A:F, 6, FALSE)</f>
        <v>0</v>
      </c>
      <c r="I223" s="2">
        <f>G223 * D223</f>
        <v>0</v>
      </c>
      <c r="J223" s="4">
        <f>VLOOKUP(D223, Volume_Discounts!A:C, 3, TRUE)</f>
        <v>0</v>
      </c>
      <c r="K223" s="2">
        <f>I223 * (1 - J223)</f>
        <v>0</v>
      </c>
      <c r="L223" s="3">
        <f>H223 * D223</f>
        <v>0</v>
      </c>
      <c r="M223" s="2">
        <f>VLOOKUP(E223, Shipping_Zones!A:C, 2, FALSE)</f>
        <v>0</v>
      </c>
      <c r="N223" s="2">
        <f>VLOOKUP(E223, Shipping_Zones!A:C, 3, FALSE)</f>
        <v>0</v>
      </c>
      <c r="O223" s="2">
        <f>M223 + (N223 * L223)</f>
        <v>0</v>
      </c>
      <c r="P223" s="2">
        <f>(F223 * D223) + O223</f>
        <v>0</v>
      </c>
      <c r="Q223" s="2">
        <f>K223 - P223</f>
        <v>0</v>
      </c>
    </row>
    <row r="224" spans="1:17">
      <c r="A224" t="s">
        <v>358</v>
      </c>
      <c r="B224" t="s">
        <v>606</v>
      </c>
      <c r="C224" t="s">
        <v>15</v>
      </c>
      <c r="D224">
        <v>26</v>
      </c>
      <c r="E224" t="s">
        <v>115</v>
      </c>
      <c r="F224" s="2">
        <f>VLOOKUP(C224, Products!A:F, 4, FALSE)</f>
        <v>0</v>
      </c>
      <c r="G224" s="2">
        <f>VLOOKUP(C224, Products!A:F, 5, FALSE)</f>
        <v>0</v>
      </c>
      <c r="H224" s="3">
        <f>VLOOKUP(C224, Products!A:F, 6, FALSE)</f>
        <v>0</v>
      </c>
      <c r="I224" s="2">
        <f>G224 * D224</f>
        <v>0</v>
      </c>
      <c r="J224" s="4">
        <f>VLOOKUP(D224, Volume_Discounts!A:C, 3, TRUE)</f>
        <v>0</v>
      </c>
      <c r="K224" s="2">
        <f>I224 * (1 - J224)</f>
        <v>0</v>
      </c>
      <c r="L224" s="3">
        <f>H224 * D224</f>
        <v>0</v>
      </c>
      <c r="M224" s="2">
        <f>VLOOKUP(E224, Shipping_Zones!A:C, 2, FALSE)</f>
        <v>0</v>
      </c>
      <c r="N224" s="2">
        <f>VLOOKUP(E224, Shipping_Zones!A:C, 3, FALSE)</f>
        <v>0</v>
      </c>
      <c r="O224" s="2">
        <f>M224 + (N224 * L224)</f>
        <v>0</v>
      </c>
      <c r="P224" s="2">
        <f>(F224 * D224) + O224</f>
        <v>0</v>
      </c>
      <c r="Q224" s="2">
        <f>K224 - P224</f>
        <v>0</v>
      </c>
    </row>
    <row r="225" spans="1:17">
      <c r="A225" t="s">
        <v>359</v>
      </c>
      <c r="B225" t="s">
        <v>507</v>
      </c>
      <c r="C225" t="s">
        <v>32</v>
      </c>
      <c r="D225">
        <v>94</v>
      </c>
      <c r="E225" t="s">
        <v>115</v>
      </c>
      <c r="F225" s="2">
        <f>VLOOKUP(C225, Products!A:F, 4, FALSE)</f>
        <v>0</v>
      </c>
      <c r="G225" s="2">
        <f>VLOOKUP(C225, Products!A:F, 5, FALSE)</f>
        <v>0</v>
      </c>
      <c r="H225" s="3">
        <f>VLOOKUP(C225, Products!A:F, 6, FALSE)</f>
        <v>0</v>
      </c>
      <c r="I225" s="2">
        <f>G225 * D225</f>
        <v>0</v>
      </c>
      <c r="J225" s="4">
        <f>VLOOKUP(D225, Volume_Discounts!A:C, 3, TRUE)</f>
        <v>0</v>
      </c>
      <c r="K225" s="2">
        <f>I225 * (1 - J225)</f>
        <v>0</v>
      </c>
      <c r="L225" s="3">
        <f>H225 * D225</f>
        <v>0</v>
      </c>
      <c r="M225" s="2">
        <f>VLOOKUP(E225, Shipping_Zones!A:C, 2, FALSE)</f>
        <v>0</v>
      </c>
      <c r="N225" s="2">
        <f>VLOOKUP(E225, Shipping_Zones!A:C, 3, FALSE)</f>
        <v>0</v>
      </c>
      <c r="O225" s="2">
        <f>M225 + (N225 * L225)</f>
        <v>0</v>
      </c>
      <c r="P225" s="2">
        <f>(F225 * D225) + O225</f>
        <v>0</v>
      </c>
      <c r="Q225" s="2">
        <f>K225 - P225</f>
        <v>0</v>
      </c>
    </row>
    <row r="226" spans="1:17">
      <c r="A226" t="s">
        <v>360</v>
      </c>
      <c r="B226" t="s">
        <v>607</v>
      </c>
      <c r="C226" t="s">
        <v>32</v>
      </c>
      <c r="D226">
        <v>50</v>
      </c>
      <c r="E226" t="s">
        <v>115</v>
      </c>
      <c r="F226" s="2">
        <f>VLOOKUP(C226, Products!A:F, 4, FALSE)</f>
        <v>0</v>
      </c>
      <c r="G226" s="2">
        <f>VLOOKUP(C226, Products!A:F, 5, FALSE)</f>
        <v>0</v>
      </c>
      <c r="H226" s="3">
        <f>VLOOKUP(C226, Products!A:F, 6, FALSE)</f>
        <v>0</v>
      </c>
      <c r="I226" s="2">
        <f>G226 * D226</f>
        <v>0</v>
      </c>
      <c r="J226" s="4">
        <f>VLOOKUP(D226, Volume_Discounts!A:C, 3, TRUE)</f>
        <v>0</v>
      </c>
      <c r="K226" s="2">
        <f>I226 * (1 - J226)</f>
        <v>0</v>
      </c>
      <c r="L226" s="3">
        <f>H226 * D226</f>
        <v>0</v>
      </c>
      <c r="M226" s="2">
        <f>VLOOKUP(E226, Shipping_Zones!A:C, 2, FALSE)</f>
        <v>0</v>
      </c>
      <c r="N226" s="2">
        <f>VLOOKUP(E226, Shipping_Zones!A:C, 3, FALSE)</f>
        <v>0</v>
      </c>
      <c r="O226" s="2">
        <f>M226 + (N226 * L226)</f>
        <v>0</v>
      </c>
      <c r="P226" s="2">
        <f>(F226 * D226) + O226</f>
        <v>0</v>
      </c>
      <c r="Q226" s="2">
        <f>K226 - P226</f>
        <v>0</v>
      </c>
    </row>
    <row r="227" spans="1:17">
      <c r="A227" t="s">
        <v>361</v>
      </c>
      <c r="B227" t="s">
        <v>608</v>
      </c>
      <c r="C227" t="s">
        <v>19</v>
      </c>
      <c r="D227">
        <v>97</v>
      </c>
      <c r="E227" t="s">
        <v>116</v>
      </c>
      <c r="F227" s="2">
        <f>VLOOKUP(C227, Products!A:F, 4, FALSE)</f>
        <v>0</v>
      </c>
      <c r="G227" s="2">
        <f>VLOOKUP(C227, Products!A:F, 5, FALSE)</f>
        <v>0</v>
      </c>
      <c r="H227" s="3">
        <f>VLOOKUP(C227, Products!A:F, 6, FALSE)</f>
        <v>0</v>
      </c>
      <c r="I227" s="2">
        <f>G227 * D227</f>
        <v>0</v>
      </c>
      <c r="J227" s="4">
        <f>VLOOKUP(D227, Volume_Discounts!A:C, 3, TRUE)</f>
        <v>0</v>
      </c>
      <c r="K227" s="2">
        <f>I227 * (1 - J227)</f>
        <v>0</v>
      </c>
      <c r="L227" s="3">
        <f>H227 * D227</f>
        <v>0</v>
      </c>
      <c r="M227" s="2">
        <f>VLOOKUP(E227, Shipping_Zones!A:C, 2, FALSE)</f>
        <v>0</v>
      </c>
      <c r="N227" s="2">
        <f>VLOOKUP(E227, Shipping_Zones!A:C, 3, FALSE)</f>
        <v>0</v>
      </c>
      <c r="O227" s="2">
        <f>M227 + (N227 * L227)</f>
        <v>0</v>
      </c>
      <c r="P227" s="2">
        <f>(F227 * D227) + O227</f>
        <v>0</v>
      </c>
      <c r="Q227" s="2">
        <f>K227 - P227</f>
        <v>0</v>
      </c>
    </row>
    <row r="228" spans="1:17">
      <c r="A228" t="s">
        <v>362</v>
      </c>
      <c r="B228" t="s">
        <v>586</v>
      </c>
      <c r="C228" t="s">
        <v>8</v>
      </c>
      <c r="D228">
        <v>55</v>
      </c>
      <c r="E228" t="s">
        <v>114</v>
      </c>
      <c r="F228" s="2">
        <f>VLOOKUP(C228, Products!A:F, 4, FALSE)</f>
        <v>0</v>
      </c>
      <c r="G228" s="2">
        <f>VLOOKUP(C228, Products!A:F, 5, FALSE)</f>
        <v>0</v>
      </c>
      <c r="H228" s="3">
        <f>VLOOKUP(C228, Products!A:F, 6, FALSE)</f>
        <v>0</v>
      </c>
      <c r="I228" s="2">
        <f>G228 * D228</f>
        <v>0</v>
      </c>
      <c r="J228" s="4">
        <f>VLOOKUP(D228, Volume_Discounts!A:C, 3, TRUE)</f>
        <v>0</v>
      </c>
      <c r="K228" s="2">
        <f>I228 * (1 - J228)</f>
        <v>0</v>
      </c>
      <c r="L228" s="3">
        <f>H228 * D228</f>
        <v>0</v>
      </c>
      <c r="M228" s="2">
        <f>VLOOKUP(E228, Shipping_Zones!A:C, 2, FALSE)</f>
        <v>0</v>
      </c>
      <c r="N228" s="2">
        <f>VLOOKUP(E228, Shipping_Zones!A:C, 3, FALSE)</f>
        <v>0</v>
      </c>
      <c r="O228" s="2">
        <f>M228 + (N228 * L228)</f>
        <v>0</v>
      </c>
      <c r="P228" s="2">
        <f>(F228 * D228) + O228</f>
        <v>0</v>
      </c>
      <c r="Q228" s="2">
        <f>K228 - P228</f>
        <v>0</v>
      </c>
    </row>
    <row r="229" spans="1:17">
      <c r="A229" t="s">
        <v>363</v>
      </c>
      <c r="B229" t="s">
        <v>534</v>
      </c>
      <c r="C229" t="s">
        <v>48</v>
      </c>
      <c r="D229">
        <v>26</v>
      </c>
      <c r="E229" t="s">
        <v>117</v>
      </c>
      <c r="F229" s="2">
        <f>VLOOKUP(C229, Products!A:F, 4, FALSE)</f>
        <v>0</v>
      </c>
      <c r="G229" s="2">
        <f>VLOOKUP(C229, Products!A:F, 5, FALSE)</f>
        <v>0</v>
      </c>
      <c r="H229" s="3">
        <f>VLOOKUP(C229, Products!A:F, 6, FALSE)</f>
        <v>0</v>
      </c>
      <c r="I229" s="2">
        <f>G229 * D229</f>
        <v>0</v>
      </c>
      <c r="J229" s="4">
        <f>VLOOKUP(D229, Volume_Discounts!A:C, 3, TRUE)</f>
        <v>0</v>
      </c>
      <c r="K229" s="2">
        <f>I229 * (1 - J229)</f>
        <v>0</v>
      </c>
      <c r="L229" s="3">
        <f>H229 * D229</f>
        <v>0</v>
      </c>
      <c r="M229" s="2">
        <f>VLOOKUP(E229, Shipping_Zones!A:C, 2, FALSE)</f>
        <v>0</v>
      </c>
      <c r="N229" s="2">
        <f>VLOOKUP(E229, Shipping_Zones!A:C, 3, FALSE)</f>
        <v>0</v>
      </c>
      <c r="O229" s="2">
        <f>M229 + (N229 * L229)</f>
        <v>0</v>
      </c>
      <c r="P229" s="2">
        <f>(F229 * D229) + O229</f>
        <v>0</v>
      </c>
      <c r="Q229" s="2">
        <f>K229 - P229</f>
        <v>0</v>
      </c>
    </row>
    <row r="230" spans="1:17">
      <c r="A230" t="s">
        <v>364</v>
      </c>
      <c r="B230" t="s">
        <v>590</v>
      </c>
      <c r="C230" t="s">
        <v>19</v>
      </c>
      <c r="D230">
        <v>5</v>
      </c>
      <c r="E230" t="s">
        <v>115</v>
      </c>
      <c r="F230" s="2">
        <f>VLOOKUP(C230, Products!A:F, 4, FALSE)</f>
        <v>0</v>
      </c>
      <c r="G230" s="2">
        <f>VLOOKUP(C230, Products!A:F, 5, FALSE)</f>
        <v>0</v>
      </c>
      <c r="H230" s="3">
        <f>VLOOKUP(C230, Products!A:F, 6, FALSE)</f>
        <v>0</v>
      </c>
      <c r="I230" s="2">
        <f>G230 * D230</f>
        <v>0</v>
      </c>
      <c r="J230" s="4">
        <f>VLOOKUP(D230, Volume_Discounts!A:C, 3, TRUE)</f>
        <v>0</v>
      </c>
      <c r="K230" s="2">
        <f>I230 * (1 - J230)</f>
        <v>0</v>
      </c>
      <c r="L230" s="3">
        <f>H230 * D230</f>
        <v>0</v>
      </c>
      <c r="M230" s="2">
        <f>VLOOKUP(E230, Shipping_Zones!A:C, 2, FALSE)</f>
        <v>0</v>
      </c>
      <c r="N230" s="2">
        <f>VLOOKUP(E230, Shipping_Zones!A:C, 3, FALSE)</f>
        <v>0</v>
      </c>
      <c r="O230" s="2">
        <f>M230 + (N230 * L230)</f>
        <v>0</v>
      </c>
      <c r="P230" s="2">
        <f>(F230 * D230) + O230</f>
        <v>0</v>
      </c>
      <c r="Q230" s="2">
        <f>K230 - P230</f>
        <v>0</v>
      </c>
    </row>
    <row r="231" spans="1:17">
      <c r="A231" t="s">
        <v>365</v>
      </c>
      <c r="B231" t="s">
        <v>609</v>
      </c>
      <c r="C231" t="s">
        <v>32</v>
      </c>
      <c r="D231">
        <v>9</v>
      </c>
      <c r="E231" t="s">
        <v>116</v>
      </c>
      <c r="F231" s="2">
        <f>VLOOKUP(C231, Products!A:F, 4, FALSE)</f>
        <v>0</v>
      </c>
      <c r="G231" s="2">
        <f>VLOOKUP(C231, Products!A:F, 5, FALSE)</f>
        <v>0</v>
      </c>
      <c r="H231" s="3">
        <f>VLOOKUP(C231, Products!A:F, 6, FALSE)</f>
        <v>0</v>
      </c>
      <c r="I231" s="2">
        <f>G231 * D231</f>
        <v>0</v>
      </c>
      <c r="J231" s="4">
        <f>VLOOKUP(D231, Volume_Discounts!A:C, 3, TRUE)</f>
        <v>0</v>
      </c>
      <c r="K231" s="2">
        <f>I231 * (1 - J231)</f>
        <v>0</v>
      </c>
      <c r="L231" s="3">
        <f>H231 * D231</f>
        <v>0</v>
      </c>
      <c r="M231" s="2">
        <f>VLOOKUP(E231, Shipping_Zones!A:C, 2, FALSE)</f>
        <v>0</v>
      </c>
      <c r="N231" s="2">
        <f>VLOOKUP(E231, Shipping_Zones!A:C, 3, FALSE)</f>
        <v>0</v>
      </c>
      <c r="O231" s="2">
        <f>M231 + (N231 * L231)</f>
        <v>0</v>
      </c>
      <c r="P231" s="2">
        <f>(F231 * D231) + O231</f>
        <v>0</v>
      </c>
      <c r="Q231" s="2">
        <f>K231 - P231</f>
        <v>0</v>
      </c>
    </row>
    <row r="232" spans="1:17">
      <c r="A232" t="s">
        <v>366</v>
      </c>
      <c r="B232" t="s">
        <v>610</v>
      </c>
      <c r="C232" t="s">
        <v>17</v>
      </c>
      <c r="D232">
        <v>39</v>
      </c>
      <c r="E232" t="s">
        <v>114</v>
      </c>
      <c r="F232" s="2">
        <f>VLOOKUP(C232, Products!A:F, 4, FALSE)</f>
        <v>0</v>
      </c>
      <c r="G232" s="2">
        <f>VLOOKUP(C232, Products!A:F, 5, FALSE)</f>
        <v>0</v>
      </c>
      <c r="H232" s="3">
        <f>VLOOKUP(C232, Products!A:F, 6, FALSE)</f>
        <v>0</v>
      </c>
      <c r="I232" s="2">
        <f>G232 * D232</f>
        <v>0</v>
      </c>
      <c r="J232" s="4">
        <f>VLOOKUP(D232, Volume_Discounts!A:C, 3, TRUE)</f>
        <v>0</v>
      </c>
      <c r="K232" s="2">
        <f>I232 * (1 - J232)</f>
        <v>0</v>
      </c>
      <c r="L232" s="3">
        <f>H232 * D232</f>
        <v>0</v>
      </c>
      <c r="M232" s="2">
        <f>VLOOKUP(E232, Shipping_Zones!A:C, 2, FALSE)</f>
        <v>0</v>
      </c>
      <c r="N232" s="2">
        <f>VLOOKUP(E232, Shipping_Zones!A:C, 3, FALSE)</f>
        <v>0</v>
      </c>
      <c r="O232" s="2">
        <f>M232 + (N232 * L232)</f>
        <v>0</v>
      </c>
      <c r="P232" s="2">
        <f>(F232 * D232) + O232</f>
        <v>0</v>
      </c>
      <c r="Q232" s="2">
        <f>K232 - P232</f>
        <v>0</v>
      </c>
    </row>
    <row r="233" spans="1:17">
      <c r="A233" t="s">
        <v>367</v>
      </c>
      <c r="B233" t="s">
        <v>569</v>
      </c>
      <c r="C233" t="s">
        <v>31</v>
      </c>
      <c r="D233">
        <v>66</v>
      </c>
      <c r="E233" t="s">
        <v>116</v>
      </c>
      <c r="F233" s="2">
        <f>VLOOKUP(C233, Products!A:F, 4, FALSE)</f>
        <v>0</v>
      </c>
      <c r="G233" s="2">
        <f>VLOOKUP(C233, Products!A:F, 5, FALSE)</f>
        <v>0</v>
      </c>
      <c r="H233" s="3">
        <f>VLOOKUP(C233, Products!A:F, 6, FALSE)</f>
        <v>0</v>
      </c>
      <c r="I233" s="2">
        <f>G233 * D233</f>
        <v>0</v>
      </c>
      <c r="J233" s="4">
        <f>VLOOKUP(D233, Volume_Discounts!A:C, 3, TRUE)</f>
        <v>0</v>
      </c>
      <c r="K233" s="2">
        <f>I233 * (1 - J233)</f>
        <v>0</v>
      </c>
      <c r="L233" s="3">
        <f>H233 * D233</f>
        <v>0</v>
      </c>
      <c r="M233" s="2">
        <f>VLOOKUP(E233, Shipping_Zones!A:C, 2, FALSE)</f>
        <v>0</v>
      </c>
      <c r="N233" s="2">
        <f>VLOOKUP(E233, Shipping_Zones!A:C, 3, FALSE)</f>
        <v>0</v>
      </c>
      <c r="O233" s="2">
        <f>M233 + (N233 * L233)</f>
        <v>0</v>
      </c>
      <c r="P233" s="2">
        <f>(F233 * D233) + O233</f>
        <v>0</v>
      </c>
      <c r="Q233" s="2">
        <f>K233 - P233</f>
        <v>0</v>
      </c>
    </row>
    <row r="234" spans="1:17">
      <c r="A234" t="s">
        <v>368</v>
      </c>
      <c r="B234" t="s">
        <v>611</v>
      </c>
      <c r="C234" t="s">
        <v>25</v>
      </c>
      <c r="D234">
        <v>114</v>
      </c>
      <c r="E234" t="s">
        <v>115</v>
      </c>
      <c r="F234" s="2">
        <f>VLOOKUP(C234, Products!A:F, 4, FALSE)</f>
        <v>0</v>
      </c>
      <c r="G234" s="2">
        <f>VLOOKUP(C234, Products!A:F, 5, FALSE)</f>
        <v>0</v>
      </c>
      <c r="H234" s="3">
        <f>VLOOKUP(C234, Products!A:F, 6, FALSE)</f>
        <v>0</v>
      </c>
      <c r="I234" s="2">
        <f>G234 * D234</f>
        <v>0</v>
      </c>
      <c r="J234" s="4">
        <f>VLOOKUP(D234, Volume_Discounts!A:C, 3, TRUE)</f>
        <v>0</v>
      </c>
      <c r="K234" s="2">
        <f>I234 * (1 - J234)</f>
        <v>0</v>
      </c>
      <c r="L234" s="3">
        <f>H234 * D234</f>
        <v>0</v>
      </c>
      <c r="M234" s="2">
        <f>VLOOKUP(E234, Shipping_Zones!A:C, 2, FALSE)</f>
        <v>0</v>
      </c>
      <c r="N234" s="2">
        <f>VLOOKUP(E234, Shipping_Zones!A:C, 3, FALSE)</f>
        <v>0</v>
      </c>
      <c r="O234" s="2">
        <f>M234 + (N234 * L234)</f>
        <v>0</v>
      </c>
      <c r="P234" s="2">
        <f>(F234 * D234) + O234</f>
        <v>0</v>
      </c>
      <c r="Q234" s="2">
        <f>K234 - P234</f>
        <v>0</v>
      </c>
    </row>
    <row r="235" spans="1:17">
      <c r="A235" t="s">
        <v>369</v>
      </c>
      <c r="B235" t="s">
        <v>499</v>
      </c>
      <c r="C235" t="s">
        <v>50</v>
      </c>
      <c r="D235">
        <v>116</v>
      </c>
      <c r="E235" t="s">
        <v>114</v>
      </c>
      <c r="F235" s="2">
        <f>VLOOKUP(C235, Products!A:F, 4, FALSE)</f>
        <v>0</v>
      </c>
      <c r="G235" s="2">
        <f>VLOOKUP(C235, Products!A:F, 5, FALSE)</f>
        <v>0</v>
      </c>
      <c r="H235" s="3">
        <f>VLOOKUP(C235, Products!A:F, 6, FALSE)</f>
        <v>0</v>
      </c>
      <c r="I235" s="2">
        <f>G235 * D235</f>
        <v>0</v>
      </c>
      <c r="J235" s="4">
        <f>VLOOKUP(D235, Volume_Discounts!A:C, 3, TRUE)</f>
        <v>0</v>
      </c>
      <c r="K235" s="2">
        <f>I235 * (1 - J235)</f>
        <v>0</v>
      </c>
      <c r="L235" s="3">
        <f>H235 * D235</f>
        <v>0</v>
      </c>
      <c r="M235" s="2">
        <f>VLOOKUP(E235, Shipping_Zones!A:C, 2, FALSE)</f>
        <v>0</v>
      </c>
      <c r="N235" s="2">
        <f>VLOOKUP(E235, Shipping_Zones!A:C, 3, FALSE)</f>
        <v>0</v>
      </c>
      <c r="O235" s="2">
        <f>M235 + (N235 * L235)</f>
        <v>0</v>
      </c>
      <c r="P235" s="2">
        <f>(F235 * D235) + O235</f>
        <v>0</v>
      </c>
      <c r="Q235" s="2">
        <f>K235 - P235</f>
        <v>0</v>
      </c>
    </row>
    <row r="236" spans="1:17">
      <c r="A236" t="s">
        <v>370</v>
      </c>
      <c r="B236" t="s">
        <v>597</v>
      </c>
      <c r="C236" t="s">
        <v>32</v>
      </c>
      <c r="D236">
        <v>5</v>
      </c>
      <c r="E236" t="s">
        <v>114</v>
      </c>
      <c r="F236" s="2">
        <f>VLOOKUP(C236, Products!A:F, 4, FALSE)</f>
        <v>0</v>
      </c>
      <c r="G236" s="2">
        <f>VLOOKUP(C236, Products!A:F, 5, FALSE)</f>
        <v>0</v>
      </c>
      <c r="H236" s="3">
        <f>VLOOKUP(C236, Products!A:F, 6, FALSE)</f>
        <v>0</v>
      </c>
      <c r="I236" s="2">
        <f>G236 * D236</f>
        <v>0</v>
      </c>
      <c r="J236" s="4">
        <f>VLOOKUP(D236, Volume_Discounts!A:C, 3, TRUE)</f>
        <v>0</v>
      </c>
      <c r="K236" s="2">
        <f>I236 * (1 - J236)</f>
        <v>0</v>
      </c>
      <c r="L236" s="3">
        <f>H236 * D236</f>
        <v>0</v>
      </c>
      <c r="M236" s="2">
        <f>VLOOKUP(E236, Shipping_Zones!A:C, 2, FALSE)</f>
        <v>0</v>
      </c>
      <c r="N236" s="2">
        <f>VLOOKUP(E236, Shipping_Zones!A:C, 3, FALSE)</f>
        <v>0</v>
      </c>
      <c r="O236" s="2">
        <f>M236 + (N236 * L236)</f>
        <v>0</v>
      </c>
      <c r="P236" s="2">
        <f>(F236 * D236) + O236</f>
        <v>0</v>
      </c>
      <c r="Q236" s="2">
        <f>K236 - P236</f>
        <v>0</v>
      </c>
    </row>
    <row r="237" spans="1:17">
      <c r="A237" t="s">
        <v>371</v>
      </c>
      <c r="B237" t="s">
        <v>612</v>
      </c>
      <c r="C237" t="s">
        <v>37</v>
      </c>
      <c r="D237">
        <v>17</v>
      </c>
      <c r="E237" t="s">
        <v>115</v>
      </c>
      <c r="F237" s="2">
        <f>VLOOKUP(C237, Products!A:F, 4, FALSE)</f>
        <v>0</v>
      </c>
      <c r="G237" s="2">
        <f>VLOOKUP(C237, Products!A:F, 5, FALSE)</f>
        <v>0</v>
      </c>
      <c r="H237" s="3">
        <f>VLOOKUP(C237, Products!A:F, 6, FALSE)</f>
        <v>0</v>
      </c>
      <c r="I237" s="2">
        <f>G237 * D237</f>
        <v>0</v>
      </c>
      <c r="J237" s="4">
        <f>VLOOKUP(D237, Volume_Discounts!A:C, 3, TRUE)</f>
        <v>0</v>
      </c>
      <c r="K237" s="2">
        <f>I237 * (1 - J237)</f>
        <v>0</v>
      </c>
      <c r="L237" s="3">
        <f>H237 * D237</f>
        <v>0</v>
      </c>
      <c r="M237" s="2">
        <f>VLOOKUP(E237, Shipping_Zones!A:C, 2, FALSE)</f>
        <v>0</v>
      </c>
      <c r="N237" s="2">
        <f>VLOOKUP(E237, Shipping_Zones!A:C, 3, FALSE)</f>
        <v>0</v>
      </c>
      <c r="O237" s="2">
        <f>M237 + (N237 * L237)</f>
        <v>0</v>
      </c>
      <c r="P237" s="2">
        <f>(F237 * D237) + O237</f>
        <v>0</v>
      </c>
      <c r="Q237" s="2">
        <f>K237 - P237</f>
        <v>0</v>
      </c>
    </row>
    <row r="238" spans="1:17">
      <c r="A238" t="s">
        <v>372</v>
      </c>
      <c r="B238" t="s">
        <v>600</v>
      </c>
      <c r="C238" t="s">
        <v>17</v>
      </c>
      <c r="D238">
        <v>98</v>
      </c>
      <c r="E238" t="s">
        <v>117</v>
      </c>
      <c r="F238" s="2">
        <f>VLOOKUP(C238, Products!A:F, 4, FALSE)</f>
        <v>0</v>
      </c>
      <c r="G238" s="2">
        <f>VLOOKUP(C238, Products!A:F, 5, FALSE)</f>
        <v>0</v>
      </c>
      <c r="H238" s="3">
        <f>VLOOKUP(C238, Products!A:F, 6, FALSE)</f>
        <v>0</v>
      </c>
      <c r="I238" s="2">
        <f>G238 * D238</f>
        <v>0</v>
      </c>
      <c r="J238" s="4">
        <f>VLOOKUP(D238, Volume_Discounts!A:C, 3, TRUE)</f>
        <v>0</v>
      </c>
      <c r="K238" s="2">
        <f>I238 * (1 - J238)</f>
        <v>0</v>
      </c>
      <c r="L238" s="3">
        <f>H238 * D238</f>
        <v>0</v>
      </c>
      <c r="M238" s="2">
        <f>VLOOKUP(E238, Shipping_Zones!A:C, 2, FALSE)</f>
        <v>0</v>
      </c>
      <c r="N238" s="2">
        <f>VLOOKUP(E238, Shipping_Zones!A:C, 3, FALSE)</f>
        <v>0</v>
      </c>
      <c r="O238" s="2">
        <f>M238 + (N238 * L238)</f>
        <v>0</v>
      </c>
      <c r="P238" s="2">
        <f>(F238 * D238) + O238</f>
        <v>0</v>
      </c>
      <c r="Q238" s="2">
        <f>K238 - P238</f>
        <v>0</v>
      </c>
    </row>
    <row r="239" spans="1:17">
      <c r="A239" t="s">
        <v>373</v>
      </c>
      <c r="B239" t="s">
        <v>454</v>
      </c>
      <c r="C239" t="s">
        <v>30</v>
      </c>
      <c r="D239">
        <v>35</v>
      </c>
      <c r="E239" t="s">
        <v>114</v>
      </c>
      <c r="F239" s="2">
        <f>VLOOKUP(C239, Products!A:F, 4, FALSE)</f>
        <v>0</v>
      </c>
      <c r="G239" s="2">
        <f>VLOOKUP(C239, Products!A:F, 5, FALSE)</f>
        <v>0</v>
      </c>
      <c r="H239" s="3">
        <f>VLOOKUP(C239, Products!A:F, 6, FALSE)</f>
        <v>0</v>
      </c>
      <c r="I239" s="2">
        <f>G239 * D239</f>
        <v>0</v>
      </c>
      <c r="J239" s="4">
        <f>VLOOKUP(D239, Volume_Discounts!A:C, 3, TRUE)</f>
        <v>0</v>
      </c>
      <c r="K239" s="2">
        <f>I239 * (1 - J239)</f>
        <v>0</v>
      </c>
      <c r="L239" s="3">
        <f>H239 * D239</f>
        <v>0</v>
      </c>
      <c r="M239" s="2">
        <f>VLOOKUP(E239, Shipping_Zones!A:C, 2, FALSE)</f>
        <v>0</v>
      </c>
      <c r="N239" s="2">
        <f>VLOOKUP(E239, Shipping_Zones!A:C, 3, FALSE)</f>
        <v>0</v>
      </c>
      <c r="O239" s="2">
        <f>M239 + (N239 * L239)</f>
        <v>0</v>
      </c>
      <c r="P239" s="2">
        <f>(F239 * D239) + O239</f>
        <v>0</v>
      </c>
      <c r="Q239" s="2">
        <f>K239 - P239</f>
        <v>0</v>
      </c>
    </row>
    <row r="240" spans="1:17">
      <c r="A240" t="s">
        <v>374</v>
      </c>
      <c r="B240" t="s">
        <v>599</v>
      </c>
      <c r="C240" t="s">
        <v>23</v>
      </c>
      <c r="D240">
        <v>41</v>
      </c>
      <c r="E240" t="s">
        <v>117</v>
      </c>
      <c r="F240" s="2">
        <f>VLOOKUP(C240, Products!A:F, 4, FALSE)</f>
        <v>0</v>
      </c>
      <c r="G240" s="2">
        <f>VLOOKUP(C240, Products!A:F, 5, FALSE)</f>
        <v>0</v>
      </c>
      <c r="H240" s="3">
        <f>VLOOKUP(C240, Products!A:F, 6, FALSE)</f>
        <v>0</v>
      </c>
      <c r="I240" s="2">
        <f>G240 * D240</f>
        <v>0</v>
      </c>
      <c r="J240" s="4">
        <f>VLOOKUP(D240, Volume_Discounts!A:C, 3, TRUE)</f>
        <v>0</v>
      </c>
      <c r="K240" s="2">
        <f>I240 * (1 - J240)</f>
        <v>0</v>
      </c>
      <c r="L240" s="3">
        <f>H240 * D240</f>
        <v>0</v>
      </c>
      <c r="M240" s="2">
        <f>VLOOKUP(E240, Shipping_Zones!A:C, 2, FALSE)</f>
        <v>0</v>
      </c>
      <c r="N240" s="2">
        <f>VLOOKUP(E240, Shipping_Zones!A:C, 3, FALSE)</f>
        <v>0</v>
      </c>
      <c r="O240" s="2">
        <f>M240 + (N240 * L240)</f>
        <v>0</v>
      </c>
      <c r="P240" s="2">
        <f>(F240 * D240) + O240</f>
        <v>0</v>
      </c>
      <c r="Q240" s="2">
        <f>K240 - P240</f>
        <v>0</v>
      </c>
    </row>
    <row r="241" spans="1:17">
      <c r="A241" t="s">
        <v>375</v>
      </c>
      <c r="B241" t="s">
        <v>613</v>
      </c>
      <c r="C241" t="s">
        <v>33</v>
      </c>
      <c r="D241">
        <v>70</v>
      </c>
      <c r="E241" t="s">
        <v>115</v>
      </c>
      <c r="F241" s="2">
        <f>VLOOKUP(C241, Products!A:F, 4, FALSE)</f>
        <v>0</v>
      </c>
      <c r="G241" s="2">
        <f>VLOOKUP(C241, Products!A:F, 5, FALSE)</f>
        <v>0</v>
      </c>
      <c r="H241" s="3">
        <f>VLOOKUP(C241, Products!A:F, 6, FALSE)</f>
        <v>0</v>
      </c>
      <c r="I241" s="2">
        <f>G241 * D241</f>
        <v>0</v>
      </c>
      <c r="J241" s="4">
        <f>VLOOKUP(D241, Volume_Discounts!A:C, 3, TRUE)</f>
        <v>0</v>
      </c>
      <c r="K241" s="2">
        <f>I241 * (1 - J241)</f>
        <v>0</v>
      </c>
      <c r="L241" s="3">
        <f>H241 * D241</f>
        <v>0</v>
      </c>
      <c r="M241" s="2">
        <f>VLOOKUP(E241, Shipping_Zones!A:C, 2, FALSE)</f>
        <v>0</v>
      </c>
      <c r="N241" s="2">
        <f>VLOOKUP(E241, Shipping_Zones!A:C, 3, FALSE)</f>
        <v>0</v>
      </c>
      <c r="O241" s="2">
        <f>M241 + (N241 * L241)</f>
        <v>0</v>
      </c>
      <c r="P241" s="2">
        <f>(F241 * D241) + O241</f>
        <v>0</v>
      </c>
      <c r="Q241" s="2">
        <f>K241 - P241</f>
        <v>0</v>
      </c>
    </row>
    <row r="242" spans="1:17">
      <c r="A242" t="s">
        <v>376</v>
      </c>
      <c r="B242" t="s">
        <v>614</v>
      </c>
      <c r="C242" t="s">
        <v>20</v>
      </c>
      <c r="D242">
        <v>8</v>
      </c>
      <c r="E242" t="s">
        <v>116</v>
      </c>
      <c r="F242" s="2">
        <f>VLOOKUP(C242, Products!A:F, 4, FALSE)</f>
        <v>0</v>
      </c>
      <c r="G242" s="2">
        <f>VLOOKUP(C242, Products!A:F, 5, FALSE)</f>
        <v>0</v>
      </c>
      <c r="H242" s="3">
        <f>VLOOKUP(C242, Products!A:F, 6, FALSE)</f>
        <v>0</v>
      </c>
      <c r="I242" s="2">
        <f>G242 * D242</f>
        <v>0</v>
      </c>
      <c r="J242" s="4">
        <f>VLOOKUP(D242, Volume_Discounts!A:C, 3, TRUE)</f>
        <v>0</v>
      </c>
      <c r="K242" s="2">
        <f>I242 * (1 - J242)</f>
        <v>0</v>
      </c>
      <c r="L242" s="3">
        <f>H242 * D242</f>
        <v>0</v>
      </c>
      <c r="M242" s="2">
        <f>VLOOKUP(E242, Shipping_Zones!A:C, 2, FALSE)</f>
        <v>0</v>
      </c>
      <c r="N242" s="2">
        <f>VLOOKUP(E242, Shipping_Zones!A:C, 3, FALSE)</f>
        <v>0</v>
      </c>
      <c r="O242" s="2">
        <f>M242 + (N242 * L242)</f>
        <v>0</v>
      </c>
      <c r="P242" s="2">
        <f>(F242 * D242) + O242</f>
        <v>0</v>
      </c>
      <c r="Q242" s="2">
        <f>K242 - P242</f>
        <v>0</v>
      </c>
    </row>
    <row r="243" spans="1:17">
      <c r="A243" t="s">
        <v>377</v>
      </c>
      <c r="B243" t="s">
        <v>615</v>
      </c>
      <c r="C243" t="s">
        <v>33</v>
      </c>
      <c r="D243">
        <v>7</v>
      </c>
      <c r="E243" t="s">
        <v>114</v>
      </c>
      <c r="F243" s="2">
        <f>VLOOKUP(C243, Products!A:F, 4, FALSE)</f>
        <v>0</v>
      </c>
      <c r="G243" s="2">
        <f>VLOOKUP(C243, Products!A:F, 5, FALSE)</f>
        <v>0</v>
      </c>
      <c r="H243" s="3">
        <f>VLOOKUP(C243, Products!A:F, 6, FALSE)</f>
        <v>0</v>
      </c>
      <c r="I243" s="2">
        <f>G243 * D243</f>
        <v>0</v>
      </c>
      <c r="J243" s="4">
        <f>VLOOKUP(D243, Volume_Discounts!A:C, 3, TRUE)</f>
        <v>0</v>
      </c>
      <c r="K243" s="2">
        <f>I243 * (1 - J243)</f>
        <v>0</v>
      </c>
      <c r="L243" s="3">
        <f>H243 * D243</f>
        <v>0</v>
      </c>
      <c r="M243" s="2">
        <f>VLOOKUP(E243, Shipping_Zones!A:C, 2, FALSE)</f>
        <v>0</v>
      </c>
      <c r="N243" s="2">
        <f>VLOOKUP(E243, Shipping_Zones!A:C, 3, FALSE)</f>
        <v>0</v>
      </c>
      <c r="O243" s="2">
        <f>M243 + (N243 * L243)</f>
        <v>0</v>
      </c>
      <c r="P243" s="2">
        <f>(F243 * D243) + O243</f>
        <v>0</v>
      </c>
      <c r="Q243" s="2">
        <f>K243 - P243</f>
        <v>0</v>
      </c>
    </row>
    <row r="244" spans="1:17">
      <c r="A244" t="s">
        <v>378</v>
      </c>
      <c r="B244" t="s">
        <v>560</v>
      </c>
      <c r="C244" t="s">
        <v>38</v>
      </c>
      <c r="D244">
        <v>86</v>
      </c>
      <c r="E244" t="s">
        <v>116</v>
      </c>
      <c r="F244" s="2">
        <f>VLOOKUP(C244, Products!A:F, 4, FALSE)</f>
        <v>0</v>
      </c>
      <c r="G244" s="2">
        <f>VLOOKUP(C244, Products!A:F, 5, FALSE)</f>
        <v>0</v>
      </c>
      <c r="H244" s="3">
        <f>VLOOKUP(C244, Products!A:F, 6, FALSE)</f>
        <v>0</v>
      </c>
      <c r="I244" s="2">
        <f>G244 * D244</f>
        <v>0</v>
      </c>
      <c r="J244" s="4">
        <f>VLOOKUP(D244, Volume_Discounts!A:C, 3, TRUE)</f>
        <v>0</v>
      </c>
      <c r="K244" s="2">
        <f>I244 * (1 - J244)</f>
        <v>0</v>
      </c>
      <c r="L244" s="3">
        <f>H244 * D244</f>
        <v>0</v>
      </c>
      <c r="M244" s="2">
        <f>VLOOKUP(E244, Shipping_Zones!A:C, 2, FALSE)</f>
        <v>0</v>
      </c>
      <c r="N244" s="2">
        <f>VLOOKUP(E244, Shipping_Zones!A:C, 3, FALSE)</f>
        <v>0</v>
      </c>
      <c r="O244" s="2">
        <f>M244 + (N244 * L244)</f>
        <v>0</v>
      </c>
      <c r="P244" s="2">
        <f>(F244 * D244) + O244</f>
        <v>0</v>
      </c>
      <c r="Q244" s="2">
        <f>K244 - P244</f>
        <v>0</v>
      </c>
    </row>
    <row r="245" spans="1:17">
      <c r="A245" t="s">
        <v>379</v>
      </c>
      <c r="B245" t="s">
        <v>616</v>
      </c>
      <c r="C245" t="s">
        <v>39</v>
      </c>
      <c r="D245">
        <v>101</v>
      </c>
      <c r="E245" t="s">
        <v>117</v>
      </c>
      <c r="F245" s="2">
        <f>VLOOKUP(C245, Products!A:F, 4, FALSE)</f>
        <v>0</v>
      </c>
      <c r="G245" s="2">
        <f>VLOOKUP(C245, Products!A:F, 5, FALSE)</f>
        <v>0</v>
      </c>
      <c r="H245" s="3">
        <f>VLOOKUP(C245, Products!A:F, 6, FALSE)</f>
        <v>0</v>
      </c>
      <c r="I245" s="2">
        <f>G245 * D245</f>
        <v>0</v>
      </c>
      <c r="J245" s="4">
        <f>VLOOKUP(D245, Volume_Discounts!A:C, 3, TRUE)</f>
        <v>0</v>
      </c>
      <c r="K245" s="2">
        <f>I245 * (1 - J245)</f>
        <v>0</v>
      </c>
      <c r="L245" s="3">
        <f>H245 * D245</f>
        <v>0</v>
      </c>
      <c r="M245" s="2">
        <f>VLOOKUP(E245, Shipping_Zones!A:C, 2, FALSE)</f>
        <v>0</v>
      </c>
      <c r="N245" s="2">
        <f>VLOOKUP(E245, Shipping_Zones!A:C, 3, FALSE)</f>
        <v>0</v>
      </c>
      <c r="O245" s="2">
        <f>M245 + (N245 * L245)</f>
        <v>0</v>
      </c>
      <c r="P245" s="2">
        <f>(F245 * D245) + O245</f>
        <v>0</v>
      </c>
      <c r="Q245" s="2">
        <f>K245 - P245</f>
        <v>0</v>
      </c>
    </row>
    <row r="246" spans="1:17">
      <c r="A246" t="s">
        <v>380</v>
      </c>
      <c r="B246" t="s">
        <v>558</v>
      </c>
      <c r="C246" t="s">
        <v>24</v>
      </c>
      <c r="D246">
        <v>53</v>
      </c>
      <c r="E246" t="s">
        <v>116</v>
      </c>
      <c r="F246" s="2">
        <f>VLOOKUP(C246, Products!A:F, 4, FALSE)</f>
        <v>0</v>
      </c>
      <c r="G246" s="2">
        <f>VLOOKUP(C246, Products!A:F, 5, FALSE)</f>
        <v>0</v>
      </c>
      <c r="H246" s="3">
        <f>VLOOKUP(C246, Products!A:F, 6, FALSE)</f>
        <v>0</v>
      </c>
      <c r="I246" s="2">
        <f>G246 * D246</f>
        <v>0</v>
      </c>
      <c r="J246" s="4">
        <f>VLOOKUP(D246, Volume_Discounts!A:C, 3, TRUE)</f>
        <v>0</v>
      </c>
      <c r="K246" s="2">
        <f>I246 * (1 - J246)</f>
        <v>0</v>
      </c>
      <c r="L246" s="3">
        <f>H246 * D246</f>
        <v>0</v>
      </c>
      <c r="M246" s="2">
        <f>VLOOKUP(E246, Shipping_Zones!A:C, 2, FALSE)</f>
        <v>0</v>
      </c>
      <c r="N246" s="2">
        <f>VLOOKUP(E246, Shipping_Zones!A:C, 3, FALSE)</f>
        <v>0</v>
      </c>
      <c r="O246" s="2">
        <f>M246 + (N246 * L246)</f>
        <v>0</v>
      </c>
      <c r="P246" s="2">
        <f>(F246 * D246) + O246</f>
        <v>0</v>
      </c>
      <c r="Q246" s="2">
        <f>K246 - P246</f>
        <v>0</v>
      </c>
    </row>
    <row r="247" spans="1:17">
      <c r="A247" t="s">
        <v>381</v>
      </c>
      <c r="B247" t="s">
        <v>617</v>
      </c>
      <c r="C247" t="s">
        <v>47</v>
      </c>
      <c r="D247">
        <v>46</v>
      </c>
      <c r="E247" t="s">
        <v>115</v>
      </c>
      <c r="F247" s="2">
        <f>VLOOKUP(C247, Products!A:F, 4, FALSE)</f>
        <v>0</v>
      </c>
      <c r="G247" s="2">
        <f>VLOOKUP(C247, Products!A:F, 5, FALSE)</f>
        <v>0</v>
      </c>
      <c r="H247" s="3">
        <f>VLOOKUP(C247, Products!A:F, 6, FALSE)</f>
        <v>0</v>
      </c>
      <c r="I247" s="2">
        <f>G247 * D247</f>
        <v>0</v>
      </c>
      <c r="J247" s="4">
        <f>VLOOKUP(D247, Volume_Discounts!A:C, 3, TRUE)</f>
        <v>0</v>
      </c>
      <c r="K247" s="2">
        <f>I247 * (1 - J247)</f>
        <v>0</v>
      </c>
      <c r="L247" s="3">
        <f>H247 * D247</f>
        <v>0</v>
      </c>
      <c r="M247" s="2">
        <f>VLOOKUP(E247, Shipping_Zones!A:C, 2, FALSE)</f>
        <v>0</v>
      </c>
      <c r="N247" s="2">
        <f>VLOOKUP(E247, Shipping_Zones!A:C, 3, FALSE)</f>
        <v>0</v>
      </c>
      <c r="O247" s="2">
        <f>M247 + (N247 * L247)</f>
        <v>0</v>
      </c>
      <c r="P247" s="2">
        <f>(F247 * D247) + O247</f>
        <v>0</v>
      </c>
      <c r="Q247" s="2">
        <f>K247 - P247</f>
        <v>0</v>
      </c>
    </row>
    <row r="248" spans="1:17">
      <c r="A248" t="s">
        <v>382</v>
      </c>
      <c r="B248" t="s">
        <v>618</v>
      </c>
      <c r="C248" t="s">
        <v>8</v>
      </c>
      <c r="D248">
        <v>72</v>
      </c>
      <c r="E248" t="s">
        <v>116</v>
      </c>
      <c r="F248" s="2">
        <f>VLOOKUP(C248, Products!A:F, 4, FALSE)</f>
        <v>0</v>
      </c>
      <c r="G248" s="2">
        <f>VLOOKUP(C248, Products!A:F, 5, FALSE)</f>
        <v>0</v>
      </c>
      <c r="H248" s="3">
        <f>VLOOKUP(C248, Products!A:F, 6, FALSE)</f>
        <v>0</v>
      </c>
      <c r="I248" s="2">
        <f>G248 * D248</f>
        <v>0</v>
      </c>
      <c r="J248" s="4">
        <f>VLOOKUP(D248, Volume_Discounts!A:C, 3, TRUE)</f>
        <v>0</v>
      </c>
      <c r="K248" s="2">
        <f>I248 * (1 - J248)</f>
        <v>0</v>
      </c>
      <c r="L248" s="3">
        <f>H248 * D248</f>
        <v>0</v>
      </c>
      <c r="M248" s="2">
        <f>VLOOKUP(E248, Shipping_Zones!A:C, 2, FALSE)</f>
        <v>0</v>
      </c>
      <c r="N248" s="2">
        <f>VLOOKUP(E248, Shipping_Zones!A:C, 3, FALSE)</f>
        <v>0</v>
      </c>
      <c r="O248" s="2">
        <f>M248 + (N248 * L248)</f>
        <v>0</v>
      </c>
      <c r="P248" s="2">
        <f>(F248 * D248) + O248</f>
        <v>0</v>
      </c>
      <c r="Q248" s="2">
        <f>K248 - P248</f>
        <v>0</v>
      </c>
    </row>
    <row r="249" spans="1:17">
      <c r="A249" t="s">
        <v>383</v>
      </c>
      <c r="B249" t="s">
        <v>619</v>
      </c>
      <c r="C249" t="s">
        <v>34</v>
      </c>
      <c r="D249">
        <v>82</v>
      </c>
      <c r="E249" t="s">
        <v>115</v>
      </c>
      <c r="F249" s="2">
        <f>VLOOKUP(C249, Products!A:F, 4, FALSE)</f>
        <v>0</v>
      </c>
      <c r="G249" s="2">
        <f>VLOOKUP(C249, Products!A:F, 5, FALSE)</f>
        <v>0</v>
      </c>
      <c r="H249" s="3">
        <f>VLOOKUP(C249, Products!A:F, 6, FALSE)</f>
        <v>0</v>
      </c>
      <c r="I249" s="2">
        <f>G249 * D249</f>
        <v>0</v>
      </c>
      <c r="J249" s="4">
        <f>VLOOKUP(D249, Volume_Discounts!A:C, 3, TRUE)</f>
        <v>0</v>
      </c>
      <c r="K249" s="2">
        <f>I249 * (1 - J249)</f>
        <v>0</v>
      </c>
      <c r="L249" s="3">
        <f>H249 * D249</f>
        <v>0</v>
      </c>
      <c r="M249" s="2">
        <f>VLOOKUP(E249, Shipping_Zones!A:C, 2, FALSE)</f>
        <v>0</v>
      </c>
      <c r="N249" s="2">
        <f>VLOOKUP(E249, Shipping_Zones!A:C, 3, FALSE)</f>
        <v>0</v>
      </c>
      <c r="O249" s="2">
        <f>M249 + (N249 * L249)</f>
        <v>0</v>
      </c>
      <c r="P249" s="2">
        <f>(F249 * D249) + O249</f>
        <v>0</v>
      </c>
      <c r="Q249" s="2">
        <f>K249 - P249</f>
        <v>0</v>
      </c>
    </row>
    <row r="250" spans="1:17">
      <c r="A250" t="s">
        <v>384</v>
      </c>
      <c r="B250" t="s">
        <v>457</v>
      </c>
      <c r="C250" t="s">
        <v>43</v>
      </c>
      <c r="D250">
        <v>28</v>
      </c>
      <c r="E250" t="s">
        <v>117</v>
      </c>
      <c r="F250" s="2">
        <f>VLOOKUP(C250, Products!A:F, 4, FALSE)</f>
        <v>0</v>
      </c>
      <c r="G250" s="2">
        <f>VLOOKUP(C250, Products!A:F, 5, FALSE)</f>
        <v>0</v>
      </c>
      <c r="H250" s="3">
        <f>VLOOKUP(C250, Products!A:F, 6, FALSE)</f>
        <v>0</v>
      </c>
      <c r="I250" s="2">
        <f>G250 * D250</f>
        <v>0</v>
      </c>
      <c r="J250" s="4">
        <f>VLOOKUP(D250, Volume_Discounts!A:C, 3, TRUE)</f>
        <v>0</v>
      </c>
      <c r="K250" s="2">
        <f>I250 * (1 - J250)</f>
        <v>0</v>
      </c>
      <c r="L250" s="3">
        <f>H250 * D250</f>
        <v>0</v>
      </c>
      <c r="M250" s="2">
        <f>VLOOKUP(E250, Shipping_Zones!A:C, 2, FALSE)</f>
        <v>0</v>
      </c>
      <c r="N250" s="2">
        <f>VLOOKUP(E250, Shipping_Zones!A:C, 3, FALSE)</f>
        <v>0</v>
      </c>
      <c r="O250" s="2">
        <f>M250 + (N250 * L250)</f>
        <v>0</v>
      </c>
      <c r="P250" s="2">
        <f>(F250 * D250) + O250</f>
        <v>0</v>
      </c>
      <c r="Q250" s="2">
        <f>K250 - P250</f>
        <v>0</v>
      </c>
    </row>
    <row r="251" spans="1:17">
      <c r="A251" t="s">
        <v>385</v>
      </c>
      <c r="B251" t="s">
        <v>620</v>
      </c>
      <c r="C251" t="s">
        <v>26</v>
      </c>
      <c r="D251">
        <v>110</v>
      </c>
      <c r="E251" t="s">
        <v>116</v>
      </c>
      <c r="F251" s="2">
        <f>VLOOKUP(C251, Products!A:F, 4, FALSE)</f>
        <v>0</v>
      </c>
      <c r="G251" s="2">
        <f>VLOOKUP(C251, Products!A:F, 5, FALSE)</f>
        <v>0</v>
      </c>
      <c r="H251" s="3">
        <f>VLOOKUP(C251, Products!A:F, 6, FALSE)</f>
        <v>0</v>
      </c>
      <c r="I251" s="2">
        <f>G251 * D251</f>
        <v>0</v>
      </c>
      <c r="J251" s="4">
        <f>VLOOKUP(D251, Volume_Discounts!A:C, 3, TRUE)</f>
        <v>0</v>
      </c>
      <c r="K251" s="2">
        <f>I251 * (1 - J251)</f>
        <v>0</v>
      </c>
      <c r="L251" s="3">
        <f>H251 * D251</f>
        <v>0</v>
      </c>
      <c r="M251" s="2">
        <f>VLOOKUP(E251, Shipping_Zones!A:C, 2, FALSE)</f>
        <v>0</v>
      </c>
      <c r="N251" s="2">
        <f>VLOOKUP(E251, Shipping_Zones!A:C, 3, FALSE)</f>
        <v>0</v>
      </c>
      <c r="O251" s="2">
        <f>M251 + (N251 * L251)</f>
        <v>0</v>
      </c>
      <c r="P251" s="2">
        <f>(F251 * D251) + O251</f>
        <v>0</v>
      </c>
      <c r="Q251" s="2">
        <f>K251 - P251</f>
        <v>0</v>
      </c>
    </row>
    <row r="252" spans="1:17">
      <c r="A252" t="s">
        <v>386</v>
      </c>
      <c r="B252" t="s">
        <v>454</v>
      </c>
      <c r="C252" t="s">
        <v>11</v>
      </c>
      <c r="D252">
        <v>47</v>
      </c>
      <c r="E252" t="s">
        <v>117</v>
      </c>
      <c r="F252" s="2">
        <f>VLOOKUP(C252, Products!A:F, 4, FALSE)</f>
        <v>0</v>
      </c>
      <c r="G252" s="2">
        <f>VLOOKUP(C252, Products!A:F, 5, FALSE)</f>
        <v>0</v>
      </c>
      <c r="H252" s="3">
        <f>VLOOKUP(C252, Products!A:F, 6, FALSE)</f>
        <v>0</v>
      </c>
      <c r="I252" s="2">
        <f>G252 * D252</f>
        <v>0</v>
      </c>
      <c r="J252" s="4">
        <f>VLOOKUP(D252, Volume_Discounts!A:C, 3, TRUE)</f>
        <v>0</v>
      </c>
      <c r="K252" s="2">
        <f>I252 * (1 - J252)</f>
        <v>0</v>
      </c>
      <c r="L252" s="3">
        <f>H252 * D252</f>
        <v>0</v>
      </c>
      <c r="M252" s="2">
        <f>VLOOKUP(E252, Shipping_Zones!A:C, 2, FALSE)</f>
        <v>0</v>
      </c>
      <c r="N252" s="2">
        <f>VLOOKUP(E252, Shipping_Zones!A:C, 3, FALSE)</f>
        <v>0</v>
      </c>
      <c r="O252" s="2">
        <f>M252 + (N252 * L252)</f>
        <v>0</v>
      </c>
      <c r="P252" s="2">
        <f>(F252 * D252) + O252</f>
        <v>0</v>
      </c>
      <c r="Q252" s="2">
        <f>K252 - P252</f>
        <v>0</v>
      </c>
    </row>
    <row r="253" spans="1:17">
      <c r="A253" t="s">
        <v>387</v>
      </c>
      <c r="B253" t="s">
        <v>621</v>
      </c>
      <c r="C253" t="s">
        <v>12</v>
      </c>
      <c r="D253">
        <v>65</v>
      </c>
      <c r="E253" t="s">
        <v>114</v>
      </c>
      <c r="F253" s="2">
        <f>VLOOKUP(C253, Products!A:F, 4, FALSE)</f>
        <v>0</v>
      </c>
      <c r="G253" s="2">
        <f>VLOOKUP(C253, Products!A:F, 5, FALSE)</f>
        <v>0</v>
      </c>
      <c r="H253" s="3">
        <f>VLOOKUP(C253, Products!A:F, 6, FALSE)</f>
        <v>0</v>
      </c>
      <c r="I253" s="2">
        <f>G253 * D253</f>
        <v>0</v>
      </c>
      <c r="J253" s="4">
        <f>VLOOKUP(D253, Volume_Discounts!A:C, 3, TRUE)</f>
        <v>0</v>
      </c>
      <c r="K253" s="2">
        <f>I253 * (1 - J253)</f>
        <v>0</v>
      </c>
      <c r="L253" s="3">
        <f>H253 * D253</f>
        <v>0</v>
      </c>
      <c r="M253" s="2">
        <f>VLOOKUP(E253, Shipping_Zones!A:C, 2, FALSE)</f>
        <v>0</v>
      </c>
      <c r="N253" s="2">
        <f>VLOOKUP(E253, Shipping_Zones!A:C, 3, FALSE)</f>
        <v>0</v>
      </c>
      <c r="O253" s="2">
        <f>M253 + (N253 * L253)</f>
        <v>0</v>
      </c>
      <c r="P253" s="2">
        <f>(F253 * D253) + O253</f>
        <v>0</v>
      </c>
      <c r="Q253" s="2">
        <f>K253 - P253</f>
        <v>0</v>
      </c>
    </row>
    <row r="254" spans="1:17">
      <c r="A254" t="s">
        <v>388</v>
      </c>
      <c r="B254" t="s">
        <v>622</v>
      </c>
      <c r="C254" t="s">
        <v>9</v>
      </c>
      <c r="D254">
        <v>45</v>
      </c>
      <c r="E254" t="s">
        <v>116</v>
      </c>
      <c r="F254" s="2">
        <f>VLOOKUP(C254, Products!A:F, 4, FALSE)</f>
        <v>0</v>
      </c>
      <c r="G254" s="2">
        <f>VLOOKUP(C254, Products!A:F, 5, FALSE)</f>
        <v>0</v>
      </c>
      <c r="H254" s="3">
        <f>VLOOKUP(C254, Products!A:F, 6, FALSE)</f>
        <v>0</v>
      </c>
      <c r="I254" s="2">
        <f>G254 * D254</f>
        <v>0</v>
      </c>
      <c r="J254" s="4">
        <f>VLOOKUP(D254, Volume_Discounts!A:C, 3, TRUE)</f>
        <v>0</v>
      </c>
      <c r="K254" s="2">
        <f>I254 * (1 - J254)</f>
        <v>0</v>
      </c>
      <c r="L254" s="3">
        <f>H254 * D254</f>
        <v>0</v>
      </c>
      <c r="M254" s="2">
        <f>VLOOKUP(E254, Shipping_Zones!A:C, 2, FALSE)</f>
        <v>0</v>
      </c>
      <c r="N254" s="2">
        <f>VLOOKUP(E254, Shipping_Zones!A:C, 3, FALSE)</f>
        <v>0</v>
      </c>
      <c r="O254" s="2">
        <f>M254 + (N254 * L254)</f>
        <v>0</v>
      </c>
      <c r="P254" s="2">
        <f>(F254 * D254) + O254</f>
        <v>0</v>
      </c>
      <c r="Q254" s="2">
        <f>K254 - P254</f>
        <v>0</v>
      </c>
    </row>
    <row r="255" spans="1:17">
      <c r="A255" t="s">
        <v>389</v>
      </c>
      <c r="B255" t="s">
        <v>623</v>
      </c>
      <c r="C255" t="s">
        <v>23</v>
      </c>
      <c r="D255">
        <v>74</v>
      </c>
      <c r="E255" t="s">
        <v>116</v>
      </c>
      <c r="F255" s="2">
        <f>VLOOKUP(C255, Products!A:F, 4, FALSE)</f>
        <v>0</v>
      </c>
      <c r="G255" s="2">
        <f>VLOOKUP(C255, Products!A:F, 5, FALSE)</f>
        <v>0</v>
      </c>
      <c r="H255" s="3">
        <f>VLOOKUP(C255, Products!A:F, 6, FALSE)</f>
        <v>0</v>
      </c>
      <c r="I255" s="2">
        <f>G255 * D255</f>
        <v>0</v>
      </c>
      <c r="J255" s="4">
        <f>VLOOKUP(D255, Volume_Discounts!A:C, 3, TRUE)</f>
        <v>0</v>
      </c>
      <c r="K255" s="2">
        <f>I255 * (1 - J255)</f>
        <v>0</v>
      </c>
      <c r="L255" s="3">
        <f>H255 * D255</f>
        <v>0</v>
      </c>
      <c r="M255" s="2">
        <f>VLOOKUP(E255, Shipping_Zones!A:C, 2, FALSE)</f>
        <v>0</v>
      </c>
      <c r="N255" s="2">
        <f>VLOOKUP(E255, Shipping_Zones!A:C, 3, FALSE)</f>
        <v>0</v>
      </c>
      <c r="O255" s="2">
        <f>M255 + (N255 * L255)</f>
        <v>0</v>
      </c>
      <c r="P255" s="2">
        <f>(F255 * D255) + O255</f>
        <v>0</v>
      </c>
      <c r="Q255" s="2">
        <f>K255 - P255</f>
        <v>0</v>
      </c>
    </row>
    <row r="256" spans="1:17">
      <c r="A256" t="s">
        <v>390</v>
      </c>
      <c r="B256" t="s">
        <v>501</v>
      </c>
      <c r="C256" t="s">
        <v>20</v>
      </c>
      <c r="D256">
        <v>55</v>
      </c>
      <c r="E256" t="s">
        <v>116</v>
      </c>
      <c r="F256" s="2">
        <f>VLOOKUP(C256, Products!A:F, 4, FALSE)</f>
        <v>0</v>
      </c>
      <c r="G256" s="2">
        <f>VLOOKUP(C256, Products!A:F, 5, FALSE)</f>
        <v>0</v>
      </c>
      <c r="H256" s="3">
        <f>VLOOKUP(C256, Products!A:F, 6, FALSE)</f>
        <v>0</v>
      </c>
      <c r="I256" s="2">
        <f>G256 * D256</f>
        <v>0</v>
      </c>
      <c r="J256" s="4">
        <f>VLOOKUP(D256, Volume_Discounts!A:C, 3, TRUE)</f>
        <v>0</v>
      </c>
      <c r="K256" s="2">
        <f>I256 * (1 - J256)</f>
        <v>0</v>
      </c>
      <c r="L256" s="3">
        <f>H256 * D256</f>
        <v>0</v>
      </c>
      <c r="M256" s="2">
        <f>VLOOKUP(E256, Shipping_Zones!A:C, 2, FALSE)</f>
        <v>0</v>
      </c>
      <c r="N256" s="2">
        <f>VLOOKUP(E256, Shipping_Zones!A:C, 3, FALSE)</f>
        <v>0</v>
      </c>
      <c r="O256" s="2">
        <f>M256 + (N256 * L256)</f>
        <v>0</v>
      </c>
      <c r="P256" s="2">
        <f>(F256 * D256) + O256</f>
        <v>0</v>
      </c>
      <c r="Q256" s="2">
        <f>K256 - P256</f>
        <v>0</v>
      </c>
    </row>
    <row r="257" spans="1:17">
      <c r="A257" t="s">
        <v>391</v>
      </c>
      <c r="B257" t="s">
        <v>457</v>
      </c>
      <c r="C257" t="s">
        <v>45</v>
      </c>
      <c r="D257">
        <v>23</v>
      </c>
      <c r="E257" t="s">
        <v>115</v>
      </c>
      <c r="F257" s="2">
        <f>VLOOKUP(C257, Products!A:F, 4, FALSE)</f>
        <v>0</v>
      </c>
      <c r="G257" s="2">
        <f>VLOOKUP(C257, Products!A:F, 5, FALSE)</f>
        <v>0</v>
      </c>
      <c r="H257" s="3">
        <f>VLOOKUP(C257, Products!A:F, 6, FALSE)</f>
        <v>0</v>
      </c>
      <c r="I257" s="2">
        <f>G257 * D257</f>
        <v>0</v>
      </c>
      <c r="J257" s="4">
        <f>VLOOKUP(D257, Volume_Discounts!A:C, 3, TRUE)</f>
        <v>0</v>
      </c>
      <c r="K257" s="2">
        <f>I257 * (1 - J257)</f>
        <v>0</v>
      </c>
      <c r="L257" s="3">
        <f>H257 * D257</f>
        <v>0</v>
      </c>
      <c r="M257" s="2">
        <f>VLOOKUP(E257, Shipping_Zones!A:C, 2, FALSE)</f>
        <v>0</v>
      </c>
      <c r="N257" s="2">
        <f>VLOOKUP(E257, Shipping_Zones!A:C, 3, FALSE)</f>
        <v>0</v>
      </c>
      <c r="O257" s="2">
        <f>M257 + (N257 * L257)</f>
        <v>0</v>
      </c>
      <c r="P257" s="2">
        <f>(F257 * D257) + O257</f>
        <v>0</v>
      </c>
      <c r="Q257" s="2">
        <f>K257 - P257</f>
        <v>0</v>
      </c>
    </row>
    <row r="258" spans="1:17">
      <c r="A258" t="s">
        <v>392</v>
      </c>
      <c r="B258" t="s">
        <v>447</v>
      </c>
      <c r="C258" t="s">
        <v>54</v>
      </c>
      <c r="D258">
        <v>49</v>
      </c>
      <c r="E258" t="s">
        <v>114</v>
      </c>
      <c r="F258" s="2">
        <f>VLOOKUP(C258, Products!A:F, 4, FALSE)</f>
        <v>0</v>
      </c>
      <c r="G258" s="2">
        <f>VLOOKUP(C258, Products!A:F, 5, FALSE)</f>
        <v>0</v>
      </c>
      <c r="H258" s="3">
        <f>VLOOKUP(C258, Products!A:F, 6, FALSE)</f>
        <v>0</v>
      </c>
      <c r="I258" s="2">
        <f>G258 * D258</f>
        <v>0</v>
      </c>
      <c r="J258" s="4">
        <f>VLOOKUP(D258, Volume_Discounts!A:C, 3, TRUE)</f>
        <v>0</v>
      </c>
      <c r="K258" s="2">
        <f>I258 * (1 - J258)</f>
        <v>0</v>
      </c>
      <c r="L258" s="3">
        <f>H258 * D258</f>
        <v>0</v>
      </c>
      <c r="M258" s="2">
        <f>VLOOKUP(E258, Shipping_Zones!A:C, 2, FALSE)</f>
        <v>0</v>
      </c>
      <c r="N258" s="2">
        <f>VLOOKUP(E258, Shipping_Zones!A:C, 3, FALSE)</f>
        <v>0</v>
      </c>
      <c r="O258" s="2">
        <f>M258 + (N258 * L258)</f>
        <v>0</v>
      </c>
      <c r="P258" s="2">
        <f>(F258 * D258) + O258</f>
        <v>0</v>
      </c>
      <c r="Q258" s="2">
        <f>K258 - P258</f>
        <v>0</v>
      </c>
    </row>
    <row r="259" spans="1:17">
      <c r="A259" t="s">
        <v>393</v>
      </c>
      <c r="B259" t="s">
        <v>624</v>
      </c>
      <c r="C259" t="s">
        <v>36</v>
      </c>
      <c r="D259">
        <v>2</v>
      </c>
      <c r="E259" t="s">
        <v>117</v>
      </c>
      <c r="F259" s="2">
        <f>VLOOKUP(C259, Products!A:F, 4, FALSE)</f>
        <v>0</v>
      </c>
      <c r="G259" s="2">
        <f>VLOOKUP(C259, Products!A:F, 5, FALSE)</f>
        <v>0</v>
      </c>
      <c r="H259" s="3">
        <f>VLOOKUP(C259, Products!A:F, 6, FALSE)</f>
        <v>0</v>
      </c>
      <c r="I259" s="2">
        <f>G259 * D259</f>
        <v>0</v>
      </c>
      <c r="J259" s="4">
        <f>VLOOKUP(D259, Volume_Discounts!A:C, 3, TRUE)</f>
        <v>0</v>
      </c>
      <c r="K259" s="2">
        <f>I259 * (1 - J259)</f>
        <v>0</v>
      </c>
      <c r="L259" s="3">
        <f>H259 * D259</f>
        <v>0</v>
      </c>
      <c r="M259" s="2">
        <f>VLOOKUP(E259, Shipping_Zones!A:C, 2, FALSE)</f>
        <v>0</v>
      </c>
      <c r="N259" s="2">
        <f>VLOOKUP(E259, Shipping_Zones!A:C, 3, FALSE)</f>
        <v>0</v>
      </c>
      <c r="O259" s="2">
        <f>M259 + (N259 * L259)</f>
        <v>0</v>
      </c>
      <c r="P259" s="2">
        <f>(F259 * D259) + O259</f>
        <v>0</v>
      </c>
      <c r="Q259" s="2">
        <f>K259 - P259</f>
        <v>0</v>
      </c>
    </row>
    <row r="260" spans="1:17">
      <c r="A260" t="s">
        <v>394</v>
      </c>
      <c r="B260" t="s">
        <v>567</v>
      </c>
      <c r="C260" t="s">
        <v>46</v>
      </c>
      <c r="D260">
        <v>90</v>
      </c>
      <c r="E260" t="s">
        <v>117</v>
      </c>
      <c r="F260" s="2">
        <f>VLOOKUP(C260, Products!A:F, 4, FALSE)</f>
        <v>0</v>
      </c>
      <c r="G260" s="2">
        <f>VLOOKUP(C260, Products!A:F, 5, FALSE)</f>
        <v>0</v>
      </c>
      <c r="H260" s="3">
        <f>VLOOKUP(C260, Products!A:F, 6, FALSE)</f>
        <v>0</v>
      </c>
      <c r="I260" s="2">
        <f>G260 * D260</f>
        <v>0</v>
      </c>
      <c r="J260" s="4">
        <f>VLOOKUP(D260, Volume_Discounts!A:C, 3, TRUE)</f>
        <v>0</v>
      </c>
      <c r="K260" s="2">
        <f>I260 * (1 - J260)</f>
        <v>0</v>
      </c>
      <c r="L260" s="3">
        <f>H260 * D260</f>
        <v>0</v>
      </c>
      <c r="M260" s="2">
        <f>VLOOKUP(E260, Shipping_Zones!A:C, 2, FALSE)</f>
        <v>0</v>
      </c>
      <c r="N260" s="2">
        <f>VLOOKUP(E260, Shipping_Zones!A:C, 3, FALSE)</f>
        <v>0</v>
      </c>
      <c r="O260" s="2">
        <f>M260 + (N260 * L260)</f>
        <v>0</v>
      </c>
      <c r="P260" s="2">
        <f>(F260 * D260) + O260</f>
        <v>0</v>
      </c>
      <c r="Q260" s="2">
        <f>K260 - P260</f>
        <v>0</v>
      </c>
    </row>
    <row r="261" spans="1:17">
      <c r="A261" t="s">
        <v>395</v>
      </c>
      <c r="B261" t="s">
        <v>625</v>
      </c>
      <c r="C261" t="s">
        <v>27</v>
      </c>
      <c r="D261">
        <v>93</v>
      </c>
      <c r="E261" t="s">
        <v>116</v>
      </c>
      <c r="F261" s="2">
        <f>VLOOKUP(C261, Products!A:F, 4, FALSE)</f>
        <v>0</v>
      </c>
      <c r="G261" s="2">
        <f>VLOOKUP(C261, Products!A:F, 5, FALSE)</f>
        <v>0</v>
      </c>
      <c r="H261" s="3">
        <f>VLOOKUP(C261, Products!A:F, 6, FALSE)</f>
        <v>0</v>
      </c>
      <c r="I261" s="2">
        <f>G261 * D261</f>
        <v>0</v>
      </c>
      <c r="J261" s="4">
        <f>VLOOKUP(D261, Volume_Discounts!A:C, 3, TRUE)</f>
        <v>0</v>
      </c>
      <c r="K261" s="2">
        <f>I261 * (1 - J261)</f>
        <v>0</v>
      </c>
      <c r="L261" s="3">
        <f>H261 * D261</f>
        <v>0</v>
      </c>
      <c r="M261" s="2">
        <f>VLOOKUP(E261, Shipping_Zones!A:C, 2, FALSE)</f>
        <v>0</v>
      </c>
      <c r="N261" s="2">
        <f>VLOOKUP(E261, Shipping_Zones!A:C, 3, FALSE)</f>
        <v>0</v>
      </c>
      <c r="O261" s="2">
        <f>M261 + (N261 * L261)</f>
        <v>0</v>
      </c>
      <c r="P261" s="2">
        <f>(F261 * D261) + O261</f>
        <v>0</v>
      </c>
      <c r="Q261" s="2">
        <f>K261 - P261</f>
        <v>0</v>
      </c>
    </row>
    <row r="262" spans="1:17">
      <c r="A262" t="s">
        <v>396</v>
      </c>
      <c r="B262" t="s">
        <v>626</v>
      </c>
      <c r="C262" t="s">
        <v>40</v>
      </c>
      <c r="D262">
        <v>81</v>
      </c>
      <c r="E262" t="s">
        <v>115</v>
      </c>
      <c r="F262" s="2">
        <f>VLOOKUP(C262, Products!A:F, 4, FALSE)</f>
        <v>0</v>
      </c>
      <c r="G262" s="2">
        <f>VLOOKUP(C262, Products!A:F, 5, FALSE)</f>
        <v>0</v>
      </c>
      <c r="H262" s="3">
        <f>VLOOKUP(C262, Products!A:F, 6, FALSE)</f>
        <v>0</v>
      </c>
      <c r="I262" s="2">
        <f>G262 * D262</f>
        <v>0</v>
      </c>
      <c r="J262" s="4">
        <f>VLOOKUP(D262, Volume_Discounts!A:C, 3, TRUE)</f>
        <v>0</v>
      </c>
      <c r="K262" s="2">
        <f>I262 * (1 - J262)</f>
        <v>0</v>
      </c>
      <c r="L262" s="3">
        <f>H262 * D262</f>
        <v>0</v>
      </c>
      <c r="M262" s="2">
        <f>VLOOKUP(E262, Shipping_Zones!A:C, 2, FALSE)</f>
        <v>0</v>
      </c>
      <c r="N262" s="2">
        <f>VLOOKUP(E262, Shipping_Zones!A:C, 3, FALSE)</f>
        <v>0</v>
      </c>
      <c r="O262" s="2">
        <f>M262 + (N262 * L262)</f>
        <v>0</v>
      </c>
      <c r="P262" s="2">
        <f>(F262 * D262) + O262</f>
        <v>0</v>
      </c>
      <c r="Q262" s="2">
        <f>K262 - P262</f>
        <v>0</v>
      </c>
    </row>
    <row r="263" spans="1:17">
      <c r="A263" t="s">
        <v>397</v>
      </c>
      <c r="B263" t="s">
        <v>627</v>
      </c>
      <c r="C263" t="s">
        <v>27</v>
      </c>
      <c r="D263">
        <v>118</v>
      </c>
      <c r="E263" t="s">
        <v>114</v>
      </c>
      <c r="F263" s="2">
        <f>VLOOKUP(C263, Products!A:F, 4, FALSE)</f>
        <v>0</v>
      </c>
      <c r="G263" s="2">
        <f>VLOOKUP(C263, Products!A:F, 5, FALSE)</f>
        <v>0</v>
      </c>
      <c r="H263" s="3">
        <f>VLOOKUP(C263, Products!A:F, 6, FALSE)</f>
        <v>0</v>
      </c>
      <c r="I263" s="2">
        <f>G263 * D263</f>
        <v>0</v>
      </c>
      <c r="J263" s="4">
        <f>VLOOKUP(D263, Volume_Discounts!A:C, 3, TRUE)</f>
        <v>0</v>
      </c>
      <c r="K263" s="2">
        <f>I263 * (1 - J263)</f>
        <v>0</v>
      </c>
      <c r="L263" s="3">
        <f>H263 * D263</f>
        <v>0</v>
      </c>
      <c r="M263" s="2">
        <f>VLOOKUP(E263, Shipping_Zones!A:C, 2, FALSE)</f>
        <v>0</v>
      </c>
      <c r="N263" s="2">
        <f>VLOOKUP(E263, Shipping_Zones!A:C, 3, FALSE)</f>
        <v>0</v>
      </c>
      <c r="O263" s="2">
        <f>M263 + (N263 * L263)</f>
        <v>0</v>
      </c>
      <c r="P263" s="2">
        <f>(F263 * D263) + O263</f>
        <v>0</v>
      </c>
      <c r="Q263" s="2">
        <f>K263 - P263</f>
        <v>0</v>
      </c>
    </row>
    <row r="264" spans="1:17">
      <c r="A264" t="s">
        <v>398</v>
      </c>
      <c r="B264" t="s">
        <v>522</v>
      </c>
      <c r="C264" t="s">
        <v>50</v>
      </c>
      <c r="D264">
        <v>59</v>
      </c>
      <c r="E264" t="s">
        <v>117</v>
      </c>
      <c r="F264" s="2">
        <f>VLOOKUP(C264, Products!A:F, 4, FALSE)</f>
        <v>0</v>
      </c>
      <c r="G264" s="2">
        <f>VLOOKUP(C264, Products!A:F, 5, FALSE)</f>
        <v>0</v>
      </c>
      <c r="H264" s="3">
        <f>VLOOKUP(C264, Products!A:F, 6, FALSE)</f>
        <v>0</v>
      </c>
      <c r="I264" s="2">
        <f>G264 * D264</f>
        <v>0</v>
      </c>
      <c r="J264" s="4">
        <f>VLOOKUP(D264, Volume_Discounts!A:C, 3, TRUE)</f>
        <v>0</v>
      </c>
      <c r="K264" s="2">
        <f>I264 * (1 - J264)</f>
        <v>0</v>
      </c>
      <c r="L264" s="3">
        <f>H264 * D264</f>
        <v>0</v>
      </c>
      <c r="M264" s="2">
        <f>VLOOKUP(E264, Shipping_Zones!A:C, 2, FALSE)</f>
        <v>0</v>
      </c>
      <c r="N264" s="2">
        <f>VLOOKUP(E264, Shipping_Zones!A:C, 3, FALSE)</f>
        <v>0</v>
      </c>
      <c r="O264" s="2">
        <f>M264 + (N264 * L264)</f>
        <v>0</v>
      </c>
      <c r="P264" s="2">
        <f>(F264 * D264) + O264</f>
        <v>0</v>
      </c>
      <c r="Q264" s="2">
        <f>K264 - P264</f>
        <v>0</v>
      </c>
    </row>
    <row r="265" spans="1:17">
      <c r="A265" t="s">
        <v>399</v>
      </c>
      <c r="B265" t="s">
        <v>628</v>
      </c>
      <c r="C265" t="s">
        <v>35</v>
      </c>
      <c r="D265">
        <v>99</v>
      </c>
      <c r="E265" t="s">
        <v>117</v>
      </c>
      <c r="F265" s="2">
        <f>VLOOKUP(C265, Products!A:F, 4, FALSE)</f>
        <v>0</v>
      </c>
      <c r="G265" s="2">
        <f>VLOOKUP(C265, Products!A:F, 5, FALSE)</f>
        <v>0</v>
      </c>
      <c r="H265" s="3">
        <f>VLOOKUP(C265, Products!A:F, 6, FALSE)</f>
        <v>0</v>
      </c>
      <c r="I265" s="2">
        <f>G265 * D265</f>
        <v>0</v>
      </c>
      <c r="J265" s="4">
        <f>VLOOKUP(D265, Volume_Discounts!A:C, 3, TRUE)</f>
        <v>0</v>
      </c>
      <c r="K265" s="2">
        <f>I265 * (1 - J265)</f>
        <v>0</v>
      </c>
      <c r="L265" s="3">
        <f>H265 * D265</f>
        <v>0</v>
      </c>
      <c r="M265" s="2">
        <f>VLOOKUP(E265, Shipping_Zones!A:C, 2, FALSE)</f>
        <v>0</v>
      </c>
      <c r="N265" s="2">
        <f>VLOOKUP(E265, Shipping_Zones!A:C, 3, FALSE)</f>
        <v>0</v>
      </c>
      <c r="O265" s="2">
        <f>M265 + (N265 * L265)</f>
        <v>0</v>
      </c>
      <c r="P265" s="2">
        <f>(F265 * D265) + O265</f>
        <v>0</v>
      </c>
      <c r="Q265" s="2">
        <f>K265 - P265</f>
        <v>0</v>
      </c>
    </row>
    <row r="266" spans="1:17">
      <c r="A266" t="s">
        <v>400</v>
      </c>
      <c r="B266" t="s">
        <v>576</v>
      </c>
      <c r="C266" t="s">
        <v>7</v>
      </c>
      <c r="D266">
        <v>2</v>
      </c>
      <c r="E266" t="s">
        <v>116</v>
      </c>
      <c r="F266" s="2">
        <f>VLOOKUP(C266, Products!A:F, 4, FALSE)</f>
        <v>0</v>
      </c>
      <c r="G266" s="2">
        <f>VLOOKUP(C266, Products!A:F, 5, FALSE)</f>
        <v>0</v>
      </c>
      <c r="H266" s="3">
        <f>VLOOKUP(C266, Products!A:F, 6, FALSE)</f>
        <v>0</v>
      </c>
      <c r="I266" s="2">
        <f>G266 * D266</f>
        <v>0</v>
      </c>
      <c r="J266" s="4">
        <f>VLOOKUP(D266, Volume_Discounts!A:C, 3, TRUE)</f>
        <v>0</v>
      </c>
      <c r="K266" s="2">
        <f>I266 * (1 - J266)</f>
        <v>0</v>
      </c>
      <c r="L266" s="3">
        <f>H266 * D266</f>
        <v>0</v>
      </c>
      <c r="M266" s="2">
        <f>VLOOKUP(E266, Shipping_Zones!A:C, 2, FALSE)</f>
        <v>0</v>
      </c>
      <c r="N266" s="2">
        <f>VLOOKUP(E266, Shipping_Zones!A:C, 3, FALSE)</f>
        <v>0</v>
      </c>
      <c r="O266" s="2">
        <f>M266 + (N266 * L266)</f>
        <v>0</v>
      </c>
      <c r="P266" s="2">
        <f>(F266 * D266) + O266</f>
        <v>0</v>
      </c>
      <c r="Q266" s="2">
        <f>K266 - P266</f>
        <v>0</v>
      </c>
    </row>
    <row r="267" spans="1:17">
      <c r="A267" t="s">
        <v>401</v>
      </c>
      <c r="B267" t="s">
        <v>583</v>
      </c>
      <c r="C267" t="s">
        <v>54</v>
      </c>
      <c r="D267">
        <v>89</v>
      </c>
      <c r="E267" t="s">
        <v>117</v>
      </c>
      <c r="F267" s="2">
        <f>VLOOKUP(C267, Products!A:F, 4, FALSE)</f>
        <v>0</v>
      </c>
      <c r="G267" s="2">
        <f>VLOOKUP(C267, Products!A:F, 5, FALSE)</f>
        <v>0</v>
      </c>
      <c r="H267" s="3">
        <f>VLOOKUP(C267, Products!A:F, 6, FALSE)</f>
        <v>0</v>
      </c>
      <c r="I267" s="2">
        <f>G267 * D267</f>
        <v>0</v>
      </c>
      <c r="J267" s="4">
        <f>VLOOKUP(D267, Volume_Discounts!A:C, 3, TRUE)</f>
        <v>0</v>
      </c>
      <c r="K267" s="2">
        <f>I267 * (1 - J267)</f>
        <v>0</v>
      </c>
      <c r="L267" s="3">
        <f>H267 * D267</f>
        <v>0</v>
      </c>
      <c r="M267" s="2">
        <f>VLOOKUP(E267, Shipping_Zones!A:C, 2, FALSE)</f>
        <v>0</v>
      </c>
      <c r="N267" s="2">
        <f>VLOOKUP(E267, Shipping_Zones!A:C, 3, FALSE)</f>
        <v>0</v>
      </c>
      <c r="O267" s="2">
        <f>M267 + (N267 * L267)</f>
        <v>0</v>
      </c>
      <c r="P267" s="2">
        <f>(F267 * D267) + O267</f>
        <v>0</v>
      </c>
      <c r="Q267" s="2">
        <f>K267 - P267</f>
        <v>0</v>
      </c>
    </row>
    <row r="268" spans="1:17">
      <c r="A268" t="s">
        <v>402</v>
      </c>
      <c r="B268" t="s">
        <v>496</v>
      </c>
      <c r="C268" t="s">
        <v>52</v>
      </c>
      <c r="D268">
        <v>6</v>
      </c>
      <c r="E268" t="s">
        <v>116</v>
      </c>
      <c r="F268" s="2">
        <f>VLOOKUP(C268, Products!A:F, 4, FALSE)</f>
        <v>0</v>
      </c>
      <c r="G268" s="2">
        <f>VLOOKUP(C268, Products!A:F, 5, FALSE)</f>
        <v>0</v>
      </c>
      <c r="H268" s="3">
        <f>VLOOKUP(C268, Products!A:F, 6, FALSE)</f>
        <v>0</v>
      </c>
      <c r="I268" s="2">
        <f>G268 * D268</f>
        <v>0</v>
      </c>
      <c r="J268" s="4">
        <f>VLOOKUP(D268, Volume_Discounts!A:C, 3, TRUE)</f>
        <v>0</v>
      </c>
      <c r="K268" s="2">
        <f>I268 * (1 - J268)</f>
        <v>0</v>
      </c>
      <c r="L268" s="3">
        <f>H268 * D268</f>
        <v>0</v>
      </c>
      <c r="M268" s="2">
        <f>VLOOKUP(E268, Shipping_Zones!A:C, 2, FALSE)</f>
        <v>0</v>
      </c>
      <c r="N268" s="2">
        <f>VLOOKUP(E268, Shipping_Zones!A:C, 3, FALSE)</f>
        <v>0</v>
      </c>
      <c r="O268" s="2">
        <f>M268 + (N268 * L268)</f>
        <v>0</v>
      </c>
      <c r="P268" s="2">
        <f>(F268 * D268) + O268</f>
        <v>0</v>
      </c>
      <c r="Q268" s="2">
        <f>K268 - P268</f>
        <v>0</v>
      </c>
    </row>
    <row r="269" spans="1:17">
      <c r="A269" t="s">
        <v>403</v>
      </c>
      <c r="B269" t="s">
        <v>614</v>
      </c>
      <c r="C269" t="s">
        <v>46</v>
      </c>
      <c r="D269">
        <v>68</v>
      </c>
      <c r="E269" t="s">
        <v>115</v>
      </c>
      <c r="F269" s="2">
        <f>VLOOKUP(C269, Products!A:F, 4, FALSE)</f>
        <v>0</v>
      </c>
      <c r="G269" s="2">
        <f>VLOOKUP(C269, Products!A:F, 5, FALSE)</f>
        <v>0</v>
      </c>
      <c r="H269" s="3">
        <f>VLOOKUP(C269, Products!A:F, 6, FALSE)</f>
        <v>0</v>
      </c>
      <c r="I269" s="2">
        <f>G269 * D269</f>
        <v>0</v>
      </c>
      <c r="J269" s="4">
        <f>VLOOKUP(D269, Volume_Discounts!A:C, 3, TRUE)</f>
        <v>0</v>
      </c>
      <c r="K269" s="2">
        <f>I269 * (1 - J269)</f>
        <v>0</v>
      </c>
      <c r="L269" s="3">
        <f>H269 * D269</f>
        <v>0</v>
      </c>
      <c r="M269" s="2">
        <f>VLOOKUP(E269, Shipping_Zones!A:C, 2, FALSE)</f>
        <v>0</v>
      </c>
      <c r="N269" s="2">
        <f>VLOOKUP(E269, Shipping_Zones!A:C, 3, FALSE)</f>
        <v>0</v>
      </c>
      <c r="O269" s="2">
        <f>M269 + (N269 * L269)</f>
        <v>0</v>
      </c>
      <c r="P269" s="2">
        <f>(F269 * D269) + O269</f>
        <v>0</v>
      </c>
      <c r="Q269" s="2">
        <f>K269 - P269</f>
        <v>0</v>
      </c>
    </row>
    <row r="270" spans="1:17">
      <c r="A270" t="s">
        <v>404</v>
      </c>
      <c r="B270" t="s">
        <v>629</v>
      </c>
      <c r="C270" t="s">
        <v>7</v>
      </c>
      <c r="D270">
        <v>98</v>
      </c>
      <c r="E270" t="s">
        <v>116</v>
      </c>
      <c r="F270" s="2">
        <f>VLOOKUP(C270, Products!A:F, 4, FALSE)</f>
        <v>0</v>
      </c>
      <c r="G270" s="2">
        <f>VLOOKUP(C270, Products!A:F, 5, FALSE)</f>
        <v>0</v>
      </c>
      <c r="H270" s="3">
        <f>VLOOKUP(C270, Products!A:F, 6, FALSE)</f>
        <v>0</v>
      </c>
      <c r="I270" s="2">
        <f>G270 * D270</f>
        <v>0</v>
      </c>
      <c r="J270" s="4">
        <f>VLOOKUP(D270, Volume_Discounts!A:C, 3, TRUE)</f>
        <v>0</v>
      </c>
      <c r="K270" s="2">
        <f>I270 * (1 - J270)</f>
        <v>0</v>
      </c>
      <c r="L270" s="3">
        <f>H270 * D270</f>
        <v>0</v>
      </c>
      <c r="M270" s="2">
        <f>VLOOKUP(E270, Shipping_Zones!A:C, 2, FALSE)</f>
        <v>0</v>
      </c>
      <c r="N270" s="2">
        <f>VLOOKUP(E270, Shipping_Zones!A:C, 3, FALSE)</f>
        <v>0</v>
      </c>
      <c r="O270" s="2">
        <f>M270 + (N270 * L270)</f>
        <v>0</v>
      </c>
      <c r="P270" s="2">
        <f>(F270 * D270) + O270</f>
        <v>0</v>
      </c>
      <c r="Q270" s="2">
        <f>K270 - P270</f>
        <v>0</v>
      </c>
    </row>
    <row r="271" spans="1:17">
      <c r="A271" t="s">
        <v>405</v>
      </c>
      <c r="B271" t="s">
        <v>492</v>
      </c>
      <c r="C271" t="s">
        <v>13</v>
      </c>
      <c r="D271">
        <v>115</v>
      </c>
      <c r="E271" t="s">
        <v>116</v>
      </c>
      <c r="F271" s="2">
        <f>VLOOKUP(C271, Products!A:F, 4, FALSE)</f>
        <v>0</v>
      </c>
      <c r="G271" s="2">
        <f>VLOOKUP(C271, Products!A:F, 5, FALSE)</f>
        <v>0</v>
      </c>
      <c r="H271" s="3">
        <f>VLOOKUP(C271, Products!A:F, 6, FALSE)</f>
        <v>0</v>
      </c>
      <c r="I271" s="2">
        <f>G271 * D271</f>
        <v>0</v>
      </c>
      <c r="J271" s="4">
        <f>VLOOKUP(D271, Volume_Discounts!A:C, 3, TRUE)</f>
        <v>0</v>
      </c>
      <c r="K271" s="2">
        <f>I271 * (1 - J271)</f>
        <v>0</v>
      </c>
      <c r="L271" s="3">
        <f>H271 * D271</f>
        <v>0</v>
      </c>
      <c r="M271" s="2">
        <f>VLOOKUP(E271, Shipping_Zones!A:C, 2, FALSE)</f>
        <v>0</v>
      </c>
      <c r="N271" s="2">
        <f>VLOOKUP(E271, Shipping_Zones!A:C, 3, FALSE)</f>
        <v>0</v>
      </c>
      <c r="O271" s="2">
        <f>M271 + (N271 * L271)</f>
        <v>0</v>
      </c>
      <c r="P271" s="2">
        <f>(F271 * D271) + O271</f>
        <v>0</v>
      </c>
      <c r="Q271" s="2">
        <f>K271 - P271</f>
        <v>0</v>
      </c>
    </row>
    <row r="272" spans="1:17">
      <c r="A272" t="s">
        <v>406</v>
      </c>
      <c r="B272" t="s">
        <v>575</v>
      </c>
      <c r="C272" t="s">
        <v>34</v>
      </c>
      <c r="D272">
        <v>20</v>
      </c>
      <c r="E272" t="s">
        <v>116</v>
      </c>
      <c r="F272" s="2">
        <f>VLOOKUP(C272, Products!A:F, 4, FALSE)</f>
        <v>0</v>
      </c>
      <c r="G272" s="2">
        <f>VLOOKUP(C272, Products!A:F, 5, FALSE)</f>
        <v>0</v>
      </c>
      <c r="H272" s="3">
        <f>VLOOKUP(C272, Products!A:F, 6, FALSE)</f>
        <v>0</v>
      </c>
      <c r="I272" s="2">
        <f>G272 * D272</f>
        <v>0</v>
      </c>
      <c r="J272" s="4">
        <f>VLOOKUP(D272, Volume_Discounts!A:C, 3, TRUE)</f>
        <v>0</v>
      </c>
      <c r="K272" s="2">
        <f>I272 * (1 - J272)</f>
        <v>0</v>
      </c>
      <c r="L272" s="3">
        <f>H272 * D272</f>
        <v>0</v>
      </c>
      <c r="M272" s="2">
        <f>VLOOKUP(E272, Shipping_Zones!A:C, 2, FALSE)</f>
        <v>0</v>
      </c>
      <c r="N272" s="2">
        <f>VLOOKUP(E272, Shipping_Zones!A:C, 3, FALSE)</f>
        <v>0</v>
      </c>
      <c r="O272" s="2">
        <f>M272 + (N272 * L272)</f>
        <v>0</v>
      </c>
      <c r="P272" s="2">
        <f>(F272 * D272) + O272</f>
        <v>0</v>
      </c>
      <c r="Q272" s="2">
        <f>K272 - P272</f>
        <v>0</v>
      </c>
    </row>
    <row r="273" spans="1:17">
      <c r="A273" t="s">
        <v>407</v>
      </c>
      <c r="B273" t="s">
        <v>626</v>
      </c>
      <c r="C273" t="s">
        <v>40</v>
      </c>
      <c r="D273">
        <v>108</v>
      </c>
      <c r="E273" t="s">
        <v>117</v>
      </c>
      <c r="F273" s="2">
        <f>VLOOKUP(C273, Products!A:F, 4, FALSE)</f>
        <v>0</v>
      </c>
      <c r="G273" s="2">
        <f>VLOOKUP(C273, Products!A:F, 5, FALSE)</f>
        <v>0</v>
      </c>
      <c r="H273" s="3">
        <f>VLOOKUP(C273, Products!A:F, 6, FALSE)</f>
        <v>0</v>
      </c>
      <c r="I273" s="2">
        <f>G273 * D273</f>
        <v>0</v>
      </c>
      <c r="J273" s="4">
        <f>VLOOKUP(D273, Volume_Discounts!A:C, 3, TRUE)</f>
        <v>0</v>
      </c>
      <c r="K273" s="2">
        <f>I273 * (1 - J273)</f>
        <v>0</v>
      </c>
      <c r="L273" s="3">
        <f>H273 * D273</f>
        <v>0</v>
      </c>
      <c r="M273" s="2">
        <f>VLOOKUP(E273, Shipping_Zones!A:C, 2, FALSE)</f>
        <v>0</v>
      </c>
      <c r="N273" s="2">
        <f>VLOOKUP(E273, Shipping_Zones!A:C, 3, FALSE)</f>
        <v>0</v>
      </c>
      <c r="O273" s="2">
        <f>M273 + (N273 * L273)</f>
        <v>0</v>
      </c>
      <c r="P273" s="2">
        <f>(F273 * D273) + O273</f>
        <v>0</v>
      </c>
      <c r="Q273" s="2">
        <f>K273 - P273</f>
        <v>0</v>
      </c>
    </row>
    <row r="274" spans="1:17">
      <c r="A274" t="s">
        <v>408</v>
      </c>
      <c r="B274" t="s">
        <v>550</v>
      </c>
      <c r="C274" t="s">
        <v>12</v>
      </c>
      <c r="D274">
        <v>2</v>
      </c>
      <c r="E274" t="s">
        <v>115</v>
      </c>
      <c r="F274" s="2">
        <f>VLOOKUP(C274, Products!A:F, 4, FALSE)</f>
        <v>0</v>
      </c>
      <c r="G274" s="2">
        <f>VLOOKUP(C274, Products!A:F, 5, FALSE)</f>
        <v>0</v>
      </c>
      <c r="H274" s="3">
        <f>VLOOKUP(C274, Products!A:F, 6, FALSE)</f>
        <v>0</v>
      </c>
      <c r="I274" s="2">
        <f>G274 * D274</f>
        <v>0</v>
      </c>
      <c r="J274" s="4">
        <f>VLOOKUP(D274, Volume_Discounts!A:C, 3, TRUE)</f>
        <v>0</v>
      </c>
      <c r="K274" s="2">
        <f>I274 * (1 - J274)</f>
        <v>0</v>
      </c>
      <c r="L274" s="3">
        <f>H274 * D274</f>
        <v>0</v>
      </c>
      <c r="M274" s="2">
        <f>VLOOKUP(E274, Shipping_Zones!A:C, 2, FALSE)</f>
        <v>0</v>
      </c>
      <c r="N274" s="2">
        <f>VLOOKUP(E274, Shipping_Zones!A:C, 3, FALSE)</f>
        <v>0</v>
      </c>
      <c r="O274" s="2">
        <f>M274 + (N274 * L274)</f>
        <v>0</v>
      </c>
      <c r="P274" s="2">
        <f>(F274 * D274) + O274</f>
        <v>0</v>
      </c>
      <c r="Q274" s="2">
        <f>K274 - P274</f>
        <v>0</v>
      </c>
    </row>
    <row r="275" spans="1:17">
      <c r="A275" t="s">
        <v>409</v>
      </c>
      <c r="B275" t="s">
        <v>630</v>
      </c>
      <c r="C275" t="s">
        <v>22</v>
      </c>
      <c r="D275">
        <v>75</v>
      </c>
      <c r="E275" t="s">
        <v>116</v>
      </c>
      <c r="F275" s="2">
        <f>VLOOKUP(C275, Products!A:F, 4, FALSE)</f>
        <v>0</v>
      </c>
      <c r="G275" s="2">
        <f>VLOOKUP(C275, Products!A:F, 5, FALSE)</f>
        <v>0</v>
      </c>
      <c r="H275" s="3">
        <f>VLOOKUP(C275, Products!A:F, 6, FALSE)</f>
        <v>0</v>
      </c>
      <c r="I275" s="2">
        <f>G275 * D275</f>
        <v>0</v>
      </c>
      <c r="J275" s="4">
        <f>VLOOKUP(D275, Volume_Discounts!A:C, 3, TRUE)</f>
        <v>0</v>
      </c>
      <c r="K275" s="2">
        <f>I275 * (1 - J275)</f>
        <v>0</v>
      </c>
      <c r="L275" s="3">
        <f>H275 * D275</f>
        <v>0</v>
      </c>
      <c r="M275" s="2">
        <f>VLOOKUP(E275, Shipping_Zones!A:C, 2, FALSE)</f>
        <v>0</v>
      </c>
      <c r="N275" s="2">
        <f>VLOOKUP(E275, Shipping_Zones!A:C, 3, FALSE)</f>
        <v>0</v>
      </c>
      <c r="O275" s="2">
        <f>M275 + (N275 * L275)</f>
        <v>0</v>
      </c>
      <c r="P275" s="2">
        <f>(F275 * D275) + O275</f>
        <v>0</v>
      </c>
      <c r="Q275" s="2">
        <f>K275 - P275</f>
        <v>0</v>
      </c>
    </row>
    <row r="276" spans="1:17">
      <c r="A276" t="s">
        <v>410</v>
      </c>
      <c r="B276" t="s">
        <v>631</v>
      </c>
      <c r="C276" t="s">
        <v>35</v>
      </c>
      <c r="D276">
        <v>92</v>
      </c>
      <c r="E276" t="s">
        <v>116</v>
      </c>
      <c r="F276" s="2">
        <f>VLOOKUP(C276, Products!A:F, 4, FALSE)</f>
        <v>0</v>
      </c>
      <c r="G276" s="2">
        <f>VLOOKUP(C276, Products!A:F, 5, FALSE)</f>
        <v>0</v>
      </c>
      <c r="H276" s="3">
        <f>VLOOKUP(C276, Products!A:F, 6, FALSE)</f>
        <v>0</v>
      </c>
      <c r="I276" s="2">
        <f>G276 * D276</f>
        <v>0</v>
      </c>
      <c r="J276" s="4">
        <f>VLOOKUP(D276, Volume_Discounts!A:C, 3, TRUE)</f>
        <v>0</v>
      </c>
      <c r="K276" s="2">
        <f>I276 * (1 - J276)</f>
        <v>0</v>
      </c>
      <c r="L276" s="3">
        <f>H276 * D276</f>
        <v>0</v>
      </c>
      <c r="M276" s="2">
        <f>VLOOKUP(E276, Shipping_Zones!A:C, 2, FALSE)</f>
        <v>0</v>
      </c>
      <c r="N276" s="2">
        <f>VLOOKUP(E276, Shipping_Zones!A:C, 3, FALSE)</f>
        <v>0</v>
      </c>
      <c r="O276" s="2">
        <f>M276 + (N276 * L276)</f>
        <v>0</v>
      </c>
      <c r="P276" s="2">
        <f>(F276 * D276) + O276</f>
        <v>0</v>
      </c>
      <c r="Q276" s="2">
        <f>K276 - P276</f>
        <v>0</v>
      </c>
    </row>
    <row r="277" spans="1:17">
      <c r="A277" t="s">
        <v>411</v>
      </c>
      <c r="B277" t="s">
        <v>632</v>
      </c>
      <c r="C277" t="s">
        <v>35</v>
      </c>
      <c r="D277">
        <v>89</v>
      </c>
      <c r="E277" t="s">
        <v>117</v>
      </c>
      <c r="F277" s="2">
        <f>VLOOKUP(C277, Products!A:F, 4, FALSE)</f>
        <v>0</v>
      </c>
      <c r="G277" s="2">
        <f>VLOOKUP(C277, Products!A:F, 5, FALSE)</f>
        <v>0</v>
      </c>
      <c r="H277" s="3">
        <f>VLOOKUP(C277, Products!A:F, 6, FALSE)</f>
        <v>0</v>
      </c>
      <c r="I277" s="2">
        <f>G277 * D277</f>
        <v>0</v>
      </c>
      <c r="J277" s="4">
        <f>VLOOKUP(D277, Volume_Discounts!A:C, 3, TRUE)</f>
        <v>0</v>
      </c>
      <c r="K277" s="2">
        <f>I277 * (1 - J277)</f>
        <v>0</v>
      </c>
      <c r="L277" s="3">
        <f>H277 * D277</f>
        <v>0</v>
      </c>
      <c r="M277" s="2">
        <f>VLOOKUP(E277, Shipping_Zones!A:C, 2, FALSE)</f>
        <v>0</v>
      </c>
      <c r="N277" s="2">
        <f>VLOOKUP(E277, Shipping_Zones!A:C, 3, FALSE)</f>
        <v>0</v>
      </c>
      <c r="O277" s="2">
        <f>M277 + (N277 * L277)</f>
        <v>0</v>
      </c>
      <c r="P277" s="2">
        <f>(F277 * D277) + O277</f>
        <v>0</v>
      </c>
      <c r="Q277" s="2">
        <f>K277 - P277</f>
        <v>0</v>
      </c>
    </row>
    <row r="278" spans="1:17">
      <c r="A278" t="s">
        <v>412</v>
      </c>
      <c r="B278" t="s">
        <v>626</v>
      </c>
      <c r="C278" t="s">
        <v>9</v>
      </c>
      <c r="D278">
        <v>67</v>
      </c>
      <c r="E278" t="s">
        <v>114</v>
      </c>
      <c r="F278" s="2">
        <f>VLOOKUP(C278, Products!A:F, 4, FALSE)</f>
        <v>0</v>
      </c>
      <c r="G278" s="2">
        <f>VLOOKUP(C278, Products!A:F, 5, FALSE)</f>
        <v>0</v>
      </c>
      <c r="H278" s="3">
        <f>VLOOKUP(C278, Products!A:F, 6, FALSE)</f>
        <v>0</v>
      </c>
      <c r="I278" s="2">
        <f>G278 * D278</f>
        <v>0</v>
      </c>
      <c r="J278" s="4">
        <f>VLOOKUP(D278, Volume_Discounts!A:C, 3, TRUE)</f>
        <v>0</v>
      </c>
      <c r="K278" s="2">
        <f>I278 * (1 - J278)</f>
        <v>0</v>
      </c>
      <c r="L278" s="3">
        <f>H278 * D278</f>
        <v>0</v>
      </c>
      <c r="M278" s="2">
        <f>VLOOKUP(E278, Shipping_Zones!A:C, 2, FALSE)</f>
        <v>0</v>
      </c>
      <c r="N278" s="2">
        <f>VLOOKUP(E278, Shipping_Zones!A:C, 3, FALSE)</f>
        <v>0</v>
      </c>
      <c r="O278" s="2">
        <f>M278 + (N278 * L278)</f>
        <v>0</v>
      </c>
      <c r="P278" s="2">
        <f>(F278 * D278) + O278</f>
        <v>0</v>
      </c>
      <c r="Q278" s="2">
        <f>K278 - P278</f>
        <v>0</v>
      </c>
    </row>
    <row r="279" spans="1:17">
      <c r="A279" t="s">
        <v>413</v>
      </c>
      <c r="B279" t="s">
        <v>633</v>
      </c>
      <c r="C279" t="s">
        <v>40</v>
      </c>
      <c r="D279">
        <v>48</v>
      </c>
      <c r="E279" t="s">
        <v>117</v>
      </c>
      <c r="F279" s="2">
        <f>VLOOKUP(C279, Products!A:F, 4, FALSE)</f>
        <v>0</v>
      </c>
      <c r="G279" s="2">
        <f>VLOOKUP(C279, Products!A:F, 5, FALSE)</f>
        <v>0</v>
      </c>
      <c r="H279" s="3">
        <f>VLOOKUP(C279, Products!A:F, 6, FALSE)</f>
        <v>0</v>
      </c>
      <c r="I279" s="2">
        <f>G279 * D279</f>
        <v>0</v>
      </c>
      <c r="J279" s="4">
        <f>VLOOKUP(D279, Volume_Discounts!A:C, 3, TRUE)</f>
        <v>0</v>
      </c>
      <c r="K279" s="2">
        <f>I279 * (1 - J279)</f>
        <v>0</v>
      </c>
      <c r="L279" s="3">
        <f>H279 * D279</f>
        <v>0</v>
      </c>
      <c r="M279" s="2">
        <f>VLOOKUP(E279, Shipping_Zones!A:C, 2, FALSE)</f>
        <v>0</v>
      </c>
      <c r="N279" s="2">
        <f>VLOOKUP(E279, Shipping_Zones!A:C, 3, FALSE)</f>
        <v>0</v>
      </c>
      <c r="O279" s="2">
        <f>M279 + (N279 * L279)</f>
        <v>0</v>
      </c>
      <c r="P279" s="2">
        <f>(F279 * D279) + O279</f>
        <v>0</v>
      </c>
      <c r="Q279" s="2">
        <f>K279 - P279</f>
        <v>0</v>
      </c>
    </row>
    <row r="280" spans="1:17">
      <c r="A280" t="s">
        <v>414</v>
      </c>
      <c r="B280" t="s">
        <v>495</v>
      </c>
      <c r="C280" t="s">
        <v>25</v>
      </c>
      <c r="D280">
        <v>36</v>
      </c>
      <c r="E280" t="s">
        <v>114</v>
      </c>
      <c r="F280" s="2">
        <f>VLOOKUP(C280, Products!A:F, 4, FALSE)</f>
        <v>0</v>
      </c>
      <c r="G280" s="2">
        <f>VLOOKUP(C280, Products!A:F, 5, FALSE)</f>
        <v>0</v>
      </c>
      <c r="H280" s="3">
        <f>VLOOKUP(C280, Products!A:F, 6, FALSE)</f>
        <v>0</v>
      </c>
      <c r="I280" s="2">
        <f>G280 * D280</f>
        <v>0</v>
      </c>
      <c r="J280" s="4">
        <f>VLOOKUP(D280, Volume_Discounts!A:C, 3, TRUE)</f>
        <v>0</v>
      </c>
      <c r="K280" s="2">
        <f>I280 * (1 - J280)</f>
        <v>0</v>
      </c>
      <c r="L280" s="3">
        <f>H280 * D280</f>
        <v>0</v>
      </c>
      <c r="M280" s="2">
        <f>VLOOKUP(E280, Shipping_Zones!A:C, 2, FALSE)</f>
        <v>0</v>
      </c>
      <c r="N280" s="2">
        <f>VLOOKUP(E280, Shipping_Zones!A:C, 3, FALSE)</f>
        <v>0</v>
      </c>
      <c r="O280" s="2">
        <f>M280 + (N280 * L280)</f>
        <v>0</v>
      </c>
      <c r="P280" s="2">
        <f>(F280 * D280) + O280</f>
        <v>0</v>
      </c>
      <c r="Q280" s="2">
        <f>K280 - P280</f>
        <v>0</v>
      </c>
    </row>
    <row r="281" spans="1:17">
      <c r="A281" t="s">
        <v>415</v>
      </c>
      <c r="B281" t="s">
        <v>634</v>
      </c>
      <c r="C281" t="s">
        <v>46</v>
      </c>
      <c r="D281">
        <v>84</v>
      </c>
      <c r="E281" t="s">
        <v>117</v>
      </c>
      <c r="F281" s="2">
        <f>VLOOKUP(C281, Products!A:F, 4, FALSE)</f>
        <v>0</v>
      </c>
      <c r="G281" s="2">
        <f>VLOOKUP(C281, Products!A:F, 5, FALSE)</f>
        <v>0</v>
      </c>
      <c r="H281" s="3">
        <f>VLOOKUP(C281, Products!A:F, 6, FALSE)</f>
        <v>0</v>
      </c>
      <c r="I281" s="2">
        <f>G281 * D281</f>
        <v>0</v>
      </c>
      <c r="J281" s="4">
        <f>VLOOKUP(D281, Volume_Discounts!A:C, 3, TRUE)</f>
        <v>0</v>
      </c>
      <c r="K281" s="2">
        <f>I281 * (1 - J281)</f>
        <v>0</v>
      </c>
      <c r="L281" s="3">
        <f>H281 * D281</f>
        <v>0</v>
      </c>
      <c r="M281" s="2">
        <f>VLOOKUP(E281, Shipping_Zones!A:C, 2, FALSE)</f>
        <v>0</v>
      </c>
      <c r="N281" s="2">
        <f>VLOOKUP(E281, Shipping_Zones!A:C, 3, FALSE)</f>
        <v>0</v>
      </c>
      <c r="O281" s="2">
        <f>M281 + (N281 * L281)</f>
        <v>0</v>
      </c>
      <c r="P281" s="2">
        <f>(F281 * D281) + O281</f>
        <v>0</v>
      </c>
      <c r="Q281" s="2">
        <f>K281 - P281</f>
        <v>0</v>
      </c>
    </row>
    <row r="282" spans="1:17">
      <c r="A282" t="s">
        <v>416</v>
      </c>
      <c r="B282" t="s">
        <v>635</v>
      </c>
      <c r="C282" t="s">
        <v>54</v>
      </c>
      <c r="D282">
        <v>103</v>
      </c>
      <c r="E282" t="s">
        <v>114</v>
      </c>
      <c r="F282" s="2">
        <f>VLOOKUP(C282, Products!A:F, 4, FALSE)</f>
        <v>0</v>
      </c>
      <c r="G282" s="2">
        <f>VLOOKUP(C282, Products!A:F, 5, FALSE)</f>
        <v>0</v>
      </c>
      <c r="H282" s="3">
        <f>VLOOKUP(C282, Products!A:F, 6, FALSE)</f>
        <v>0</v>
      </c>
      <c r="I282" s="2">
        <f>G282 * D282</f>
        <v>0</v>
      </c>
      <c r="J282" s="4">
        <f>VLOOKUP(D282, Volume_Discounts!A:C, 3, TRUE)</f>
        <v>0</v>
      </c>
      <c r="K282" s="2">
        <f>I282 * (1 - J282)</f>
        <v>0</v>
      </c>
      <c r="L282" s="3">
        <f>H282 * D282</f>
        <v>0</v>
      </c>
      <c r="M282" s="2">
        <f>VLOOKUP(E282, Shipping_Zones!A:C, 2, FALSE)</f>
        <v>0</v>
      </c>
      <c r="N282" s="2">
        <f>VLOOKUP(E282, Shipping_Zones!A:C, 3, FALSE)</f>
        <v>0</v>
      </c>
      <c r="O282" s="2">
        <f>M282 + (N282 * L282)</f>
        <v>0</v>
      </c>
      <c r="P282" s="2">
        <f>(F282 * D282) + O282</f>
        <v>0</v>
      </c>
      <c r="Q282" s="2">
        <f>K282 - P282</f>
        <v>0</v>
      </c>
    </row>
    <row r="283" spans="1:17">
      <c r="A283" t="s">
        <v>417</v>
      </c>
      <c r="B283" t="s">
        <v>469</v>
      </c>
      <c r="C283" t="s">
        <v>21</v>
      </c>
      <c r="D283">
        <v>102</v>
      </c>
      <c r="E283" t="s">
        <v>114</v>
      </c>
      <c r="F283" s="2">
        <f>VLOOKUP(C283, Products!A:F, 4, FALSE)</f>
        <v>0</v>
      </c>
      <c r="G283" s="2">
        <f>VLOOKUP(C283, Products!A:F, 5, FALSE)</f>
        <v>0</v>
      </c>
      <c r="H283" s="3">
        <f>VLOOKUP(C283, Products!A:F, 6, FALSE)</f>
        <v>0</v>
      </c>
      <c r="I283" s="2">
        <f>G283 * D283</f>
        <v>0</v>
      </c>
      <c r="J283" s="4">
        <f>VLOOKUP(D283, Volume_Discounts!A:C, 3, TRUE)</f>
        <v>0</v>
      </c>
      <c r="K283" s="2">
        <f>I283 * (1 - J283)</f>
        <v>0</v>
      </c>
      <c r="L283" s="3">
        <f>H283 * D283</f>
        <v>0</v>
      </c>
      <c r="M283" s="2">
        <f>VLOOKUP(E283, Shipping_Zones!A:C, 2, FALSE)</f>
        <v>0</v>
      </c>
      <c r="N283" s="2">
        <f>VLOOKUP(E283, Shipping_Zones!A:C, 3, FALSE)</f>
        <v>0</v>
      </c>
      <c r="O283" s="2">
        <f>M283 + (N283 * L283)</f>
        <v>0</v>
      </c>
      <c r="P283" s="2">
        <f>(F283 * D283) + O283</f>
        <v>0</v>
      </c>
      <c r="Q283" s="2">
        <f>K283 - P283</f>
        <v>0</v>
      </c>
    </row>
    <row r="284" spans="1:17">
      <c r="A284" t="s">
        <v>418</v>
      </c>
      <c r="B284" t="s">
        <v>568</v>
      </c>
      <c r="C284" t="s">
        <v>53</v>
      </c>
      <c r="D284">
        <v>29</v>
      </c>
      <c r="E284" t="s">
        <v>117</v>
      </c>
      <c r="F284" s="2">
        <f>VLOOKUP(C284, Products!A:F, 4, FALSE)</f>
        <v>0</v>
      </c>
      <c r="G284" s="2">
        <f>VLOOKUP(C284, Products!A:F, 5, FALSE)</f>
        <v>0</v>
      </c>
      <c r="H284" s="3">
        <f>VLOOKUP(C284, Products!A:F, 6, FALSE)</f>
        <v>0</v>
      </c>
      <c r="I284" s="2">
        <f>G284 * D284</f>
        <v>0</v>
      </c>
      <c r="J284" s="4">
        <f>VLOOKUP(D284, Volume_Discounts!A:C, 3, TRUE)</f>
        <v>0</v>
      </c>
      <c r="K284" s="2">
        <f>I284 * (1 - J284)</f>
        <v>0</v>
      </c>
      <c r="L284" s="3">
        <f>H284 * D284</f>
        <v>0</v>
      </c>
      <c r="M284" s="2">
        <f>VLOOKUP(E284, Shipping_Zones!A:C, 2, FALSE)</f>
        <v>0</v>
      </c>
      <c r="N284" s="2">
        <f>VLOOKUP(E284, Shipping_Zones!A:C, 3, FALSE)</f>
        <v>0</v>
      </c>
      <c r="O284" s="2">
        <f>M284 + (N284 * L284)</f>
        <v>0</v>
      </c>
      <c r="P284" s="2">
        <f>(F284 * D284) + O284</f>
        <v>0</v>
      </c>
      <c r="Q284" s="2">
        <f>K284 - P284</f>
        <v>0</v>
      </c>
    </row>
    <row r="285" spans="1:17">
      <c r="A285" t="s">
        <v>419</v>
      </c>
      <c r="B285" t="s">
        <v>442</v>
      </c>
      <c r="C285" t="s">
        <v>24</v>
      </c>
      <c r="D285">
        <v>98</v>
      </c>
      <c r="E285" t="s">
        <v>116</v>
      </c>
      <c r="F285" s="2">
        <f>VLOOKUP(C285, Products!A:F, 4, FALSE)</f>
        <v>0</v>
      </c>
      <c r="G285" s="2">
        <f>VLOOKUP(C285, Products!A:F, 5, FALSE)</f>
        <v>0</v>
      </c>
      <c r="H285" s="3">
        <f>VLOOKUP(C285, Products!A:F, 6, FALSE)</f>
        <v>0</v>
      </c>
      <c r="I285" s="2">
        <f>G285 * D285</f>
        <v>0</v>
      </c>
      <c r="J285" s="4">
        <f>VLOOKUP(D285, Volume_Discounts!A:C, 3, TRUE)</f>
        <v>0</v>
      </c>
      <c r="K285" s="2">
        <f>I285 * (1 - J285)</f>
        <v>0</v>
      </c>
      <c r="L285" s="3">
        <f>H285 * D285</f>
        <v>0</v>
      </c>
      <c r="M285" s="2">
        <f>VLOOKUP(E285, Shipping_Zones!A:C, 2, FALSE)</f>
        <v>0</v>
      </c>
      <c r="N285" s="2">
        <f>VLOOKUP(E285, Shipping_Zones!A:C, 3, FALSE)</f>
        <v>0</v>
      </c>
      <c r="O285" s="2">
        <f>M285 + (N285 * L285)</f>
        <v>0</v>
      </c>
      <c r="P285" s="2">
        <f>(F285 * D285) + O285</f>
        <v>0</v>
      </c>
      <c r="Q285" s="2">
        <f>K285 - P285</f>
        <v>0</v>
      </c>
    </row>
    <row r="286" spans="1:17">
      <c r="A286" t="s">
        <v>420</v>
      </c>
      <c r="B286" t="s">
        <v>636</v>
      </c>
      <c r="C286" t="s">
        <v>44</v>
      </c>
      <c r="D286">
        <v>22</v>
      </c>
      <c r="E286" t="s">
        <v>116</v>
      </c>
      <c r="F286" s="2">
        <f>VLOOKUP(C286, Products!A:F, 4, FALSE)</f>
        <v>0</v>
      </c>
      <c r="G286" s="2">
        <f>VLOOKUP(C286, Products!A:F, 5, FALSE)</f>
        <v>0</v>
      </c>
      <c r="H286" s="3">
        <f>VLOOKUP(C286, Products!A:F, 6, FALSE)</f>
        <v>0</v>
      </c>
      <c r="I286" s="2">
        <f>G286 * D286</f>
        <v>0</v>
      </c>
      <c r="J286" s="4">
        <f>VLOOKUP(D286, Volume_Discounts!A:C, 3, TRUE)</f>
        <v>0</v>
      </c>
      <c r="K286" s="2">
        <f>I286 * (1 - J286)</f>
        <v>0</v>
      </c>
      <c r="L286" s="3">
        <f>H286 * D286</f>
        <v>0</v>
      </c>
      <c r="M286" s="2">
        <f>VLOOKUP(E286, Shipping_Zones!A:C, 2, FALSE)</f>
        <v>0</v>
      </c>
      <c r="N286" s="2">
        <f>VLOOKUP(E286, Shipping_Zones!A:C, 3, FALSE)</f>
        <v>0</v>
      </c>
      <c r="O286" s="2">
        <f>M286 + (N286 * L286)</f>
        <v>0</v>
      </c>
      <c r="P286" s="2">
        <f>(F286 * D286) + O286</f>
        <v>0</v>
      </c>
      <c r="Q286" s="2">
        <f>K286 - P286</f>
        <v>0</v>
      </c>
    </row>
    <row r="287" spans="1:17">
      <c r="A287" t="s">
        <v>421</v>
      </c>
      <c r="B287" t="s">
        <v>572</v>
      </c>
      <c r="C287" t="s">
        <v>24</v>
      </c>
      <c r="D287">
        <v>4</v>
      </c>
      <c r="E287" t="s">
        <v>116</v>
      </c>
      <c r="F287" s="2">
        <f>VLOOKUP(C287, Products!A:F, 4, FALSE)</f>
        <v>0</v>
      </c>
      <c r="G287" s="2">
        <f>VLOOKUP(C287, Products!A:F, 5, FALSE)</f>
        <v>0</v>
      </c>
      <c r="H287" s="3">
        <f>VLOOKUP(C287, Products!A:F, 6, FALSE)</f>
        <v>0</v>
      </c>
      <c r="I287" s="2">
        <f>G287 * D287</f>
        <v>0</v>
      </c>
      <c r="J287" s="4">
        <f>VLOOKUP(D287, Volume_Discounts!A:C, 3, TRUE)</f>
        <v>0</v>
      </c>
      <c r="K287" s="2">
        <f>I287 * (1 - J287)</f>
        <v>0</v>
      </c>
      <c r="L287" s="3">
        <f>H287 * D287</f>
        <v>0</v>
      </c>
      <c r="M287" s="2">
        <f>VLOOKUP(E287, Shipping_Zones!A:C, 2, FALSE)</f>
        <v>0</v>
      </c>
      <c r="N287" s="2">
        <f>VLOOKUP(E287, Shipping_Zones!A:C, 3, FALSE)</f>
        <v>0</v>
      </c>
      <c r="O287" s="2">
        <f>M287 + (N287 * L287)</f>
        <v>0</v>
      </c>
      <c r="P287" s="2">
        <f>(F287 * D287) + O287</f>
        <v>0</v>
      </c>
      <c r="Q287" s="2">
        <f>K287 - P287</f>
        <v>0</v>
      </c>
    </row>
    <row r="288" spans="1:17">
      <c r="A288" t="s">
        <v>422</v>
      </c>
      <c r="B288" t="s">
        <v>455</v>
      </c>
      <c r="C288" t="s">
        <v>50</v>
      </c>
      <c r="D288">
        <v>36</v>
      </c>
      <c r="E288" t="s">
        <v>114</v>
      </c>
      <c r="F288" s="2">
        <f>VLOOKUP(C288, Products!A:F, 4, FALSE)</f>
        <v>0</v>
      </c>
      <c r="G288" s="2">
        <f>VLOOKUP(C288, Products!A:F, 5, FALSE)</f>
        <v>0</v>
      </c>
      <c r="H288" s="3">
        <f>VLOOKUP(C288, Products!A:F, 6, FALSE)</f>
        <v>0</v>
      </c>
      <c r="I288" s="2">
        <f>G288 * D288</f>
        <v>0</v>
      </c>
      <c r="J288" s="4">
        <f>VLOOKUP(D288, Volume_Discounts!A:C, 3, TRUE)</f>
        <v>0</v>
      </c>
      <c r="K288" s="2">
        <f>I288 * (1 - J288)</f>
        <v>0</v>
      </c>
      <c r="L288" s="3">
        <f>H288 * D288</f>
        <v>0</v>
      </c>
      <c r="M288" s="2">
        <f>VLOOKUP(E288, Shipping_Zones!A:C, 2, FALSE)</f>
        <v>0</v>
      </c>
      <c r="N288" s="2">
        <f>VLOOKUP(E288, Shipping_Zones!A:C, 3, FALSE)</f>
        <v>0</v>
      </c>
      <c r="O288" s="2">
        <f>M288 + (N288 * L288)</f>
        <v>0</v>
      </c>
      <c r="P288" s="2">
        <f>(F288 * D288) + O288</f>
        <v>0</v>
      </c>
      <c r="Q288" s="2">
        <f>K288 - P288</f>
        <v>0</v>
      </c>
    </row>
    <row r="289" spans="1:17">
      <c r="A289" t="s">
        <v>423</v>
      </c>
      <c r="B289" t="s">
        <v>589</v>
      </c>
      <c r="C289" t="s">
        <v>26</v>
      </c>
      <c r="D289">
        <v>33</v>
      </c>
      <c r="E289" t="s">
        <v>115</v>
      </c>
      <c r="F289" s="2">
        <f>VLOOKUP(C289, Products!A:F, 4, FALSE)</f>
        <v>0</v>
      </c>
      <c r="G289" s="2">
        <f>VLOOKUP(C289, Products!A:F, 5, FALSE)</f>
        <v>0</v>
      </c>
      <c r="H289" s="3">
        <f>VLOOKUP(C289, Products!A:F, 6, FALSE)</f>
        <v>0</v>
      </c>
      <c r="I289" s="2">
        <f>G289 * D289</f>
        <v>0</v>
      </c>
      <c r="J289" s="4">
        <f>VLOOKUP(D289, Volume_Discounts!A:C, 3, TRUE)</f>
        <v>0</v>
      </c>
      <c r="K289" s="2">
        <f>I289 * (1 - J289)</f>
        <v>0</v>
      </c>
      <c r="L289" s="3">
        <f>H289 * D289</f>
        <v>0</v>
      </c>
      <c r="M289" s="2">
        <f>VLOOKUP(E289, Shipping_Zones!A:C, 2, FALSE)</f>
        <v>0</v>
      </c>
      <c r="N289" s="2">
        <f>VLOOKUP(E289, Shipping_Zones!A:C, 3, FALSE)</f>
        <v>0</v>
      </c>
      <c r="O289" s="2">
        <f>M289 + (N289 * L289)</f>
        <v>0</v>
      </c>
      <c r="P289" s="2">
        <f>(F289 * D289) + O289</f>
        <v>0</v>
      </c>
      <c r="Q289" s="2">
        <f>K289 - P289</f>
        <v>0</v>
      </c>
    </row>
    <row r="290" spans="1:17">
      <c r="A290" t="s">
        <v>424</v>
      </c>
      <c r="B290" t="s">
        <v>637</v>
      </c>
      <c r="C290" t="s">
        <v>51</v>
      </c>
      <c r="D290">
        <v>42</v>
      </c>
      <c r="E290" t="s">
        <v>117</v>
      </c>
      <c r="F290" s="2">
        <f>VLOOKUP(C290, Products!A:F, 4, FALSE)</f>
        <v>0</v>
      </c>
      <c r="G290" s="2">
        <f>VLOOKUP(C290, Products!A:F, 5, FALSE)</f>
        <v>0</v>
      </c>
      <c r="H290" s="3">
        <f>VLOOKUP(C290, Products!A:F, 6, FALSE)</f>
        <v>0</v>
      </c>
      <c r="I290" s="2">
        <f>G290 * D290</f>
        <v>0</v>
      </c>
      <c r="J290" s="4">
        <f>VLOOKUP(D290, Volume_Discounts!A:C, 3, TRUE)</f>
        <v>0</v>
      </c>
      <c r="K290" s="2">
        <f>I290 * (1 - J290)</f>
        <v>0</v>
      </c>
      <c r="L290" s="3">
        <f>H290 * D290</f>
        <v>0</v>
      </c>
      <c r="M290" s="2">
        <f>VLOOKUP(E290, Shipping_Zones!A:C, 2, FALSE)</f>
        <v>0</v>
      </c>
      <c r="N290" s="2">
        <f>VLOOKUP(E290, Shipping_Zones!A:C, 3, FALSE)</f>
        <v>0</v>
      </c>
      <c r="O290" s="2">
        <f>M290 + (N290 * L290)</f>
        <v>0</v>
      </c>
      <c r="P290" s="2">
        <f>(F290 * D290) + O290</f>
        <v>0</v>
      </c>
      <c r="Q290" s="2">
        <f>K290 - P290</f>
        <v>0</v>
      </c>
    </row>
    <row r="291" spans="1:17">
      <c r="A291" t="s">
        <v>425</v>
      </c>
      <c r="B291" t="s">
        <v>638</v>
      </c>
      <c r="C291" t="s">
        <v>41</v>
      </c>
      <c r="D291">
        <v>100</v>
      </c>
      <c r="E291" t="s">
        <v>115</v>
      </c>
      <c r="F291" s="2">
        <f>VLOOKUP(C291, Products!A:F, 4, FALSE)</f>
        <v>0</v>
      </c>
      <c r="G291" s="2">
        <f>VLOOKUP(C291, Products!A:F, 5, FALSE)</f>
        <v>0</v>
      </c>
      <c r="H291" s="3">
        <f>VLOOKUP(C291, Products!A:F, 6, FALSE)</f>
        <v>0</v>
      </c>
      <c r="I291" s="2">
        <f>G291 * D291</f>
        <v>0</v>
      </c>
      <c r="J291" s="4">
        <f>VLOOKUP(D291, Volume_Discounts!A:C, 3, TRUE)</f>
        <v>0</v>
      </c>
      <c r="K291" s="2">
        <f>I291 * (1 - J291)</f>
        <v>0</v>
      </c>
      <c r="L291" s="3">
        <f>H291 * D291</f>
        <v>0</v>
      </c>
      <c r="M291" s="2">
        <f>VLOOKUP(E291, Shipping_Zones!A:C, 2, FALSE)</f>
        <v>0</v>
      </c>
      <c r="N291" s="2">
        <f>VLOOKUP(E291, Shipping_Zones!A:C, 3, FALSE)</f>
        <v>0</v>
      </c>
      <c r="O291" s="2">
        <f>M291 + (N291 * L291)</f>
        <v>0</v>
      </c>
      <c r="P291" s="2">
        <f>(F291 * D291) + O291</f>
        <v>0</v>
      </c>
      <c r="Q291" s="2">
        <f>K291 - P291</f>
        <v>0</v>
      </c>
    </row>
    <row r="292" spans="1:17">
      <c r="A292" t="s">
        <v>426</v>
      </c>
      <c r="B292" t="s">
        <v>504</v>
      </c>
      <c r="C292" t="s">
        <v>44</v>
      </c>
      <c r="D292">
        <v>40</v>
      </c>
      <c r="E292" t="s">
        <v>116</v>
      </c>
      <c r="F292" s="2">
        <f>VLOOKUP(C292, Products!A:F, 4, FALSE)</f>
        <v>0</v>
      </c>
      <c r="G292" s="2">
        <f>VLOOKUP(C292, Products!A:F, 5, FALSE)</f>
        <v>0</v>
      </c>
      <c r="H292" s="3">
        <f>VLOOKUP(C292, Products!A:F, 6, FALSE)</f>
        <v>0</v>
      </c>
      <c r="I292" s="2">
        <f>G292 * D292</f>
        <v>0</v>
      </c>
      <c r="J292" s="4">
        <f>VLOOKUP(D292, Volume_Discounts!A:C, 3, TRUE)</f>
        <v>0</v>
      </c>
      <c r="K292" s="2">
        <f>I292 * (1 - J292)</f>
        <v>0</v>
      </c>
      <c r="L292" s="3">
        <f>H292 * D292</f>
        <v>0</v>
      </c>
      <c r="M292" s="2">
        <f>VLOOKUP(E292, Shipping_Zones!A:C, 2, FALSE)</f>
        <v>0</v>
      </c>
      <c r="N292" s="2">
        <f>VLOOKUP(E292, Shipping_Zones!A:C, 3, FALSE)</f>
        <v>0</v>
      </c>
      <c r="O292" s="2">
        <f>M292 + (N292 * L292)</f>
        <v>0</v>
      </c>
      <c r="P292" s="2">
        <f>(F292 * D292) + O292</f>
        <v>0</v>
      </c>
      <c r="Q292" s="2">
        <f>K292 - P292</f>
        <v>0</v>
      </c>
    </row>
    <row r="293" spans="1:17">
      <c r="A293" t="s">
        <v>427</v>
      </c>
      <c r="B293" t="s">
        <v>639</v>
      </c>
      <c r="C293" t="s">
        <v>26</v>
      </c>
      <c r="D293">
        <v>45</v>
      </c>
      <c r="E293" t="s">
        <v>115</v>
      </c>
      <c r="F293" s="2">
        <f>VLOOKUP(C293, Products!A:F, 4, FALSE)</f>
        <v>0</v>
      </c>
      <c r="G293" s="2">
        <f>VLOOKUP(C293, Products!A:F, 5, FALSE)</f>
        <v>0</v>
      </c>
      <c r="H293" s="3">
        <f>VLOOKUP(C293, Products!A:F, 6, FALSE)</f>
        <v>0</v>
      </c>
      <c r="I293" s="2">
        <f>G293 * D293</f>
        <v>0</v>
      </c>
      <c r="J293" s="4">
        <f>VLOOKUP(D293, Volume_Discounts!A:C, 3, TRUE)</f>
        <v>0</v>
      </c>
      <c r="K293" s="2">
        <f>I293 * (1 - J293)</f>
        <v>0</v>
      </c>
      <c r="L293" s="3">
        <f>H293 * D293</f>
        <v>0</v>
      </c>
      <c r="M293" s="2">
        <f>VLOOKUP(E293, Shipping_Zones!A:C, 2, FALSE)</f>
        <v>0</v>
      </c>
      <c r="N293" s="2">
        <f>VLOOKUP(E293, Shipping_Zones!A:C, 3, FALSE)</f>
        <v>0</v>
      </c>
      <c r="O293" s="2">
        <f>M293 + (N293 * L293)</f>
        <v>0</v>
      </c>
      <c r="P293" s="2">
        <f>(F293 * D293) + O293</f>
        <v>0</v>
      </c>
      <c r="Q293" s="2">
        <f>K293 - P293</f>
        <v>0</v>
      </c>
    </row>
    <row r="294" spans="1:17">
      <c r="A294" t="s">
        <v>428</v>
      </c>
      <c r="B294" t="s">
        <v>591</v>
      </c>
      <c r="C294" t="s">
        <v>54</v>
      </c>
      <c r="D294">
        <v>106</v>
      </c>
      <c r="E294" t="s">
        <v>115</v>
      </c>
      <c r="F294" s="2">
        <f>VLOOKUP(C294, Products!A:F, 4, FALSE)</f>
        <v>0</v>
      </c>
      <c r="G294" s="2">
        <f>VLOOKUP(C294, Products!A:F, 5, FALSE)</f>
        <v>0</v>
      </c>
      <c r="H294" s="3">
        <f>VLOOKUP(C294, Products!A:F, 6, FALSE)</f>
        <v>0</v>
      </c>
      <c r="I294" s="2">
        <f>G294 * D294</f>
        <v>0</v>
      </c>
      <c r="J294" s="4">
        <f>VLOOKUP(D294, Volume_Discounts!A:C, 3, TRUE)</f>
        <v>0</v>
      </c>
      <c r="K294" s="2">
        <f>I294 * (1 - J294)</f>
        <v>0</v>
      </c>
      <c r="L294" s="3">
        <f>H294 * D294</f>
        <v>0</v>
      </c>
      <c r="M294" s="2">
        <f>VLOOKUP(E294, Shipping_Zones!A:C, 2, FALSE)</f>
        <v>0</v>
      </c>
      <c r="N294" s="2">
        <f>VLOOKUP(E294, Shipping_Zones!A:C, 3, FALSE)</f>
        <v>0</v>
      </c>
      <c r="O294" s="2">
        <f>M294 + (N294 * L294)</f>
        <v>0</v>
      </c>
      <c r="P294" s="2">
        <f>(F294 * D294) + O294</f>
        <v>0</v>
      </c>
      <c r="Q294" s="2">
        <f>K294 - P294</f>
        <v>0</v>
      </c>
    </row>
    <row r="295" spans="1:17">
      <c r="A295" t="s">
        <v>429</v>
      </c>
      <c r="B295" t="s">
        <v>500</v>
      </c>
      <c r="C295" t="s">
        <v>48</v>
      </c>
      <c r="D295">
        <v>116</v>
      </c>
      <c r="E295" t="s">
        <v>115</v>
      </c>
      <c r="F295" s="2">
        <f>VLOOKUP(C295, Products!A:F, 4, FALSE)</f>
        <v>0</v>
      </c>
      <c r="G295" s="2">
        <f>VLOOKUP(C295, Products!A:F, 5, FALSE)</f>
        <v>0</v>
      </c>
      <c r="H295" s="3">
        <f>VLOOKUP(C295, Products!A:F, 6, FALSE)</f>
        <v>0</v>
      </c>
      <c r="I295" s="2">
        <f>G295 * D295</f>
        <v>0</v>
      </c>
      <c r="J295" s="4">
        <f>VLOOKUP(D295, Volume_Discounts!A:C, 3, TRUE)</f>
        <v>0</v>
      </c>
      <c r="K295" s="2">
        <f>I295 * (1 - J295)</f>
        <v>0</v>
      </c>
      <c r="L295" s="3">
        <f>H295 * D295</f>
        <v>0</v>
      </c>
      <c r="M295" s="2">
        <f>VLOOKUP(E295, Shipping_Zones!A:C, 2, FALSE)</f>
        <v>0</v>
      </c>
      <c r="N295" s="2">
        <f>VLOOKUP(E295, Shipping_Zones!A:C, 3, FALSE)</f>
        <v>0</v>
      </c>
      <c r="O295" s="2">
        <f>M295 + (N295 * L295)</f>
        <v>0</v>
      </c>
      <c r="P295" s="2">
        <f>(F295 * D295) + O295</f>
        <v>0</v>
      </c>
      <c r="Q295" s="2">
        <f>K295 - P295</f>
        <v>0</v>
      </c>
    </row>
    <row r="296" spans="1:17">
      <c r="A296" t="s">
        <v>430</v>
      </c>
      <c r="B296" t="s">
        <v>453</v>
      </c>
      <c r="C296" t="s">
        <v>18</v>
      </c>
      <c r="D296">
        <v>16</v>
      </c>
      <c r="E296" t="s">
        <v>115</v>
      </c>
      <c r="F296" s="2">
        <f>VLOOKUP(C296, Products!A:F, 4, FALSE)</f>
        <v>0</v>
      </c>
      <c r="G296" s="2">
        <f>VLOOKUP(C296, Products!A:F, 5, FALSE)</f>
        <v>0</v>
      </c>
      <c r="H296" s="3">
        <f>VLOOKUP(C296, Products!A:F, 6, FALSE)</f>
        <v>0</v>
      </c>
      <c r="I296" s="2">
        <f>G296 * D296</f>
        <v>0</v>
      </c>
      <c r="J296" s="4">
        <f>VLOOKUP(D296, Volume_Discounts!A:C, 3, TRUE)</f>
        <v>0</v>
      </c>
      <c r="K296" s="2">
        <f>I296 * (1 - J296)</f>
        <v>0</v>
      </c>
      <c r="L296" s="3">
        <f>H296 * D296</f>
        <v>0</v>
      </c>
      <c r="M296" s="2">
        <f>VLOOKUP(E296, Shipping_Zones!A:C, 2, FALSE)</f>
        <v>0</v>
      </c>
      <c r="N296" s="2">
        <f>VLOOKUP(E296, Shipping_Zones!A:C, 3, FALSE)</f>
        <v>0</v>
      </c>
      <c r="O296" s="2">
        <f>M296 + (N296 * L296)</f>
        <v>0</v>
      </c>
      <c r="P296" s="2">
        <f>(F296 * D296) + O296</f>
        <v>0</v>
      </c>
      <c r="Q296" s="2">
        <f>K296 - P296</f>
        <v>0</v>
      </c>
    </row>
    <row r="297" spans="1:17">
      <c r="A297" t="s">
        <v>431</v>
      </c>
      <c r="B297" t="s">
        <v>582</v>
      </c>
      <c r="C297" t="s">
        <v>34</v>
      </c>
      <c r="D297">
        <v>24</v>
      </c>
      <c r="E297" t="s">
        <v>116</v>
      </c>
      <c r="F297" s="2">
        <f>VLOOKUP(C297, Products!A:F, 4, FALSE)</f>
        <v>0</v>
      </c>
      <c r="G297" s="2">
        <f>VLOOKUP(C297, Products!A:F, 5, FALSE)</f>
        <v>0</v>
      </c>
      <c r="H297" s="3">
        <f>VLOOKUP(C297, Products!A:F, 6, FALSE)</f>
        <v>0</v>
      </c>
      <c r="I297" s="2">
        <f>G297 * D297</f>
        <v>0</v>
      </c>
      <c r="J297" s="4">
        <f>VLOOKUP(D297, Volume_Discounts!A:C, 3, TRUE)</f>
        <v>0</v>
      </c>
      <c r="K297" s="2">
        <f>I297 * (1 - J297)</f>
        <v>0</v>
      </c>
      <c r="L297" s="3">
        <f>H297 * D297</f>
        <v>0</v>
      </c>
      <c r="M297" s="2">
        <f>VLOOKUP(E297, Shipping_Zones!A:C, 2, FALSE)</f>
        <v>0</v>
      </c>
      <c r="N297" s="2">
        <f>VLOOKUP(E297, Shipping_Zones!A:C, 3, FALSE)</f>
        <v>0</v>
      </c>
      <c r="O297" s="2">
        <f>M297 + (N297 * L297)</f>
        <v>0</v>
      </c>
      <c r="P297" s="2">
        <f>(F297 * D297) + O297</f>
        <v>0</v>
      </c>
      <c r="Q297" s="2">
        <f>K297 - P297</f>
        <v>0</v>
      </c>
    </row>
    <row r="298" spans="1:17">
      <c r="A298" t="s">
        <v>432</v>
      </c>
      <c r="B298" t="s">
        <v>640</v>
      </c>
      <c r="C298" t="s">
        <v>7</v>
      </c>
      <c r="D298">
        <v>47</v>
      </c>
      <c r="E298" t="s">
        <v>114</v>
      </c>
      <c r="F298" s="2">
        <f>VLOOKUP(C298, Products!A:F, 4, FALSE)</f>
        <v>0</v>
      </c>
      <c r="G298" s="2">
        <f>VLOOKUP(C298, Products!A:F, 5, FALSE)</f>
        <v>0</v>
      </c>
      <c r="H298" s="3">
        <f>VLOOKUP(C298, Products!A:F, 6, FALSE)</f>
        <v>0</v>
      </c>
      <c r="I298" s="2">
        <f>G298 * D298</f>
        <v>0</v>
      </c>
      <c r="J298" s="4">
        <f>VLOOKUP(D298, Volume_Discounts!A:C, 3, TRUE)</f>
        <v>0</v>
      </c>
      <c r="K298" s="2">
        <f>I298 * (1 - J298)</f>
        <v>0</v>
      </c>
      <c r="L298" s="3">
        <f>H298 * D298</f>
        <v>0</v>
      </c>
      <c r="M298" s="2">
        <f>VLOOKUP(E298, Shipping_Zones!A:C, 2, FALSE)</f>
        <v>0</v>
      </c>
      <c r="N298" s="2">
        <f>VLOOKUP(E298, Shipping_Zones!A:C, 3, FALSE)</f>
        <v>0</v>
      </c>
      <c r="O298" s="2">
        <f>M298 + (N298 * L298)</f>
        <v>0</v>
      </c>
      <c r="P298" s="2">
        <f>(F298 * D298) + O298</f>
        <v>0</v>
      </c>
      <c r="Q298" s="2">
        <f>K298 - P298</f>
        <v>0</v>
      </c>
    </row>
    <row r="299" spans="1:17">
      <c r="A299" t="s">
        <v>433</v>
      </c>
      <c r="B299" t="s">
        <v>600</v>
      </c>
      <c r="C299" t="s">
        <v>20</v>
      </c>
      <c r="D299">
        <v>63</v>
      </c>
      <c r="E299" t="s">
        <v>116</v>
      </c>
      <c r="F299" s="2">
        <f>VLOOKUP(C299, Products!A:F, 4, FALSE)</f>
        <v>0</v>
      </c>
      <c r="G299" s="2">
        <f>VLOOKUP(C299, Products!A:F, 5, FALSE)</f>
        <v>0</v>
      </c>
      <c r="H299" s="3">
        <f>VLOOKUP(C299, Products!A:F, 6, FALSE)</f>
        <v>0</v>
      </c>
      <c r="I299" s="2">
        <f>G299 * D299</f>
        <v>0</v>
      </c>
      <c r="J299" s="4">
        <f>VLOOKUP(D299, Volume_Discounts!A:C, 3, TRUE)</f>
        <v>0</v>
      </c>
      <c r="K299" s="2">
        <f>I299 * (1 - J299)</f>
        <v>0</v>
      </c>
      <c r="L299" s="3">
        <f>H299 * D299</f>
        <v>0</v>
      </c>
      <c r="M299" s="2">
        <f>VLOOKUP(E299, Shipping_Zones!A:C, 2, FALSE)</f>
        <v>0</v>
      </c>
      <c r="N299" s="2">
        <f>VLOOKUP(E299, Shipping_Zones!A:C, 3, FALSE)</f>
        <v>0</v>
      </c>
      <c r="O299" s="2">
        <f>M299 + (N299 * L299)</f>
        <v>0</v>
      </c>
      <c r="P299" s="2">
        <f>(F299 * D299) + O299</f>
        <v>0</v>
      </c>
      <c r="Q299" s="2">
        <f>K299 - P299</f>
        <v>0</v>
      </c>
    </row>
    <row r="300" spans="1:17">
      <c r="A300" t="s">
        <v>434</v>
      </c>
      <c r="B300" t="s">
        <v>641</v>
      </c>
      <c r="C300" t="s">
        <v>49</v>
      </c>
      <c r="D300">
        <v>31</v>
      </c>
      <c r="E300" t="s">
        <v>117</v>
      </c>
      <c r="F300" s="2">
        <f>VLOOKUP(C300, Products!A:F, 4, FALSE)</f>
        <v>0</v>
      </c>
      <c r="G300" s="2">
        <f>VLOOKUP(C300, Products!A:F, 5, FALSE)</f>
        <v>0</v>
      </c>
      <c r="H300" s="3">
        <f>VLOOKUP(C300, Products!A:F, 6, FALSE)</f>
        <v>0</v>
      </c>
      <c r="I300" s="2">
        <f>G300 * D300</f>
        <v>0</v>
      </c>
      <c r="J300" s="4">
        <f>VLOOKUP(D300, Volume_Discounts!A:C, 3, TRUE)</f>
        <v>0</v>
      </c>
      <c r="K300" s="2">
        <f>I300 * (1 - J300)</f>
        <v>0</v>
      </c>
      <c r="L300" s="3">
        <f>H300 * D300</f>
        <v>0</v>
      </c>
      <c r="M300" s="2">
        <f>VLOOKUP(E300, Shipping_Zones!A:C, 2, FALSE)</f>
        <v>0</v>
      </c>
      <c r="N300" s="2">
        <f>VLOOKUP(E300, Shipping_Zones!A:C, 3, FALSE)</f>
        <v>0</v>
      </c>
      <c r="O300" s="2">
        <f>M300 + (N300 * L300)</f>
        <v>0</v>
      </c>
      <c r="P300" s="2">
        <f>(F300 * D300) + O300</f>
        <v>0</v>
      </c>
      <c r="Q300" s="2">
        <f>K300 - P300</f>
        <v>0</v>
      </c>
    </row>
    <row r="301" spans="1:17">
      <c r="A301" t="s">
        <v>435</v>
      </c>
      <c r="B301" t="s">
        <v>598</v>
      </c>
      <c r="C301" t="s">
        <v>46</v>
      </c>
      <c r="D301">
        <v>106</v>
      </c>
      <c r="E301" t="s">
        <v>115</v>
      </c>
      <c r="F301" s="2">
        <f>VLOOKUP(C301, Products!A:F, 4, FALSE)</f>
        <v>0</v>
      </c>
      <c r="G301" s="2">
        <f>VLOOKUP(C301, Products!A:F, 5, FALSE)</f>
        <v>0</v>
      </c>
      <c r="H301" s="3">
        <f>VLOOKUP(C301, Products!A:F, 6, FALSE)</f>
        <v>0</v>
      </c>
      <c r="I301" s="2">
        <f>G301 * D301</f>
        <v>0</v>
      </c>
      <c r="J301" s="4">
        <f>VLOOKUP(D301, Volume_Discounts!A:C, 3, TRUE)</f>
        <v>0</v>
      </c>
      <c r="K301" s="2">
        <f>I301 * (1 - J301)</f>
        <v>0</v>
      </c>
      <c r="L301" s="3">
        <f>H301 * D301</f>
        <v>0</v>
      </c>
      <c r="M301" s="2">
        <f>VLOOKUP(E301, Shipping_Zones!A:C, 2, FALSE)</f>
        <v>0</v>
      </c>
      <c r="N301" s="2">
        <f>VLOOKUP(E301, Shipping_Zones!A:C, 3, FALSE)</f>
        <v>0</v>
      </c>
      <c r="O301" s="2">
        <f>M301 + (N301 * L301)</f>
        <v>0</v>
      </c>
      <c r="P301" s="2">
        <f>(F301 * D301) + O301</f>
        <v>0</v>
      </c>
      <c r="Q301" s="2">
        <f>K301 - P301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Shipping_Zones</vt:lpstr>
      <vt:lpstr>Volume_Discounts</vt:lpstr>
      <vt:lpstr>Sales_Ledger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2026-03-25T12:49:16Z</dcterms:created>
  <dcterms:modified xsi:type="dcterms:W3CDTF">2026-03-25T12:49:16Z</dcterms:modified>
</cp:coreProperties>
</file>