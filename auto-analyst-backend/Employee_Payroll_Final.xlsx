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roll" sheetId="1" r:id="rId1"/>
  </sheets>
  <calcPr calcId="124519" fullCalcOnLoad="1"/>
</workbook>
</file>

<file path=xl/sharedStrings.xml><?xml version="1.0" encoding="utf-8"?>
<sst xmlns="http://schemas.openxmlformats.org/spreadsheetml/2006/main" count="640" uniqueCount="328">
  <si>
    <t>Employee_ID</t>
  </si>
  <si>
    <t>Name</t>
  </si>
  <si>
    <t>Department</t>
  </si>
  <si>
    <t>Role</t>
  </si>
  <si>
    <t>Join_Date</t>
  </si>
  <si>
    <t>Work_Loc</t>
  </si>
  <si>
    <t>Base_Salary</t>
  </si>
  <si>
    <t>Perf_Score</t>
  </si>
  <si>
    <t>Perf_Bonus</t>
  </si>
  <si>
    <t>OT_Hours</t>
  </si>
  <si>
    <t>Hourly_Rate</t>
  </si>
  <si>
    <t>OT_Pay</t>
  </si>
  <si>
    <t>Travel_Allow</t>
  </si>
  <si>
    <t>Remote_Stipend</t>
  </si>
  <si>
    <t>Gross_Salary</t>
  </si>
  <si>
    <t>Provident_Fund</t>
  </si>
  <si>
    <t>Health_Ins</t>
  </si>
  <si>
    <t>Income_Tax</t>
  </si>
  <si>
    <t>Total_Deduct</t>
  </si>
  <si>
    <t>Net_Salary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</si>
  <si>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</si>
  <si>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</si>
  <si>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</si>
  <si>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</si>
  <si>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</si>
  <si>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</si>
  <si>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</si>
  <si>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</si>
  <si>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</si>
  <si>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</si>
  <si>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</si>
  <si>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</si>
  <si>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</si>
  <si>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</si>
  <si>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</si>
  <si>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</si>
  <si>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</si>
  <si>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</si>
  <si>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</si>
  <si>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</si>
  <si>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</si>
  <si>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</si>
  <si>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</si>
  <si>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</si>
  <si>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</si>
  <si>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</si>
  <si>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</si>
  <si>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</si>
  <si>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</si>
  <si>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</si>
  <si>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</si>
  <si>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</si>
  <si>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</si>
  <si>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</si>
  <si>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</si>
  <si>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</si>
  <si>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</si>
  <si>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</si>
  <si>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</si>
  <si>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</si>
  <si>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</si>
  <si>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</si>
  <si>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</si>
  <si>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</si>
  <si>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</si>
  <si>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</si>
  <si>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</si>
  <si>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</si>
  <si>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</si>
  <si>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</si>
  <si>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</si>
  <si>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</si>
  <si>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</si>
  <si>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</si>
  <si>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</si>
  <si>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</si>
  <si>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</si>
  <si>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</si>
  <si>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</si>
  <si>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</si>
  <si>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</si>
  <si>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</si>
  <si>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</si>
  <si>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</si>
  <si>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</si>
  <si>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</si>
  <si>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</si>
  <si>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</si>
  <si>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</si>
  <si>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</si>
  <si>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</si>
  <si>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</si>
  <si>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</si>
  <si>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</si>
  <si>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</si>
  <si>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</si>
  <si>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</si>
  <si>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</si>
  <si>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</si>
  <si>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</si>
  <si>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</si>
  <si>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</si>
  <si>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</si>
  <si>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</si>
  <si>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</si>
  <si>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</si>
  <si>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</si>
  <si>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</si>
  <si>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</si>
  <si>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</si>
  <si>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</si>
  <si>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</si>
  <si>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</si>
  <si>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</si>
  <si>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</si>
  <si>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</si>
  <si>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</si>
  <si>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</si>
  <si>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</si>
  <si>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</si>
  <si>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Employee_0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</si>
  <si>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</si>
  <si>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</si>
  <si>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</si>
  <si>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</si>
  <si>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</si>
  <si>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</si>
  <si>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</si>
  <si>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</si>
  <si>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</si>
  <si>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</si>
  <si>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</si>
  <si>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</si>
  <si>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</si>
  <si>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</si>
  <si>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</si>
  <si>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</si>
  <si>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</si>
  <si>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</si>
  <si>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</si>
  <si>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</si>
  <si>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</si>
  <si>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</si>
  <si>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</si>
  <si>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</si>
  <si>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</si>
  <si>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</si>
  <si>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</si>
  <si>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</si>
  <si>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</si>
  <si>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</si>
  <si>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</si>
  <si>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</si>
  <si>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</si>
  <si>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</si>
  <si>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</si>
  <si>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</si>
  <si>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</si>
  <si>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</si>
  <si>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</si>
  <si>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</si>
  <si>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</si>
  <si>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</si>
  <si>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</si>
  <si>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</si>
  <si>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</si>
  <si>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</si>
  <si>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</si>
  <si>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</si>
  <si>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</si>
  <si>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</si>
  <si>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</si>
  <si>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</si>
  <si>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</si>
  <si>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</si>
  <si>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</si>
  <si>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</si>
  <si>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</si>
  <si>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</si>
  <si>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</si>
  <si>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</si>
  <si>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</si>
  <si>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</si>
  <si>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</si>
  <si>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</si>
  <si>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</si>
  <si>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</si>
  <si>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</si>
  <si>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</si>
  <si>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</si>
  <si>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</si>
  <si>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</si>
  <si>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</si>
  <si>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</si>
  <si>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</si>
  <si>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</si>
  <si>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</si>
  <si>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</si>
  <si>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</si>
  <si>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</si>
  <si>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</si>
  <si>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</si>
  <si>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</si>
  <si>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</si>
  <si>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</si>
  <si>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</si>
  <si>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</si>
  <si>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</si>
  <si>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</si>
  <si>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</si>
  <si>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</si>
  <si>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</si>
  <si>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</si>
  <si>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</si>
  <si>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</si>
  <si>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</si>
  <si>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</si>
  <si>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</si>
  <si>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</si>
  <si>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</si>
  <si>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Sales</t>
  </si>
  <si>
    <t>HR</t>
  </si>
  <si>
    <t>Marketing</t>
  </si>
  <si>
    <t>Finance</t>
  </si>
  <si>
    <t>Engineering</t>
  </si>
  <si>
    <t>Data Science</t>
  </si>
  <si>
    <t>Junior</t>
  </si>
  <si>
    <t>Director</t>
  </si>
  <si>
    <t>Manager</t>
  </si>
  <si>
    <t>Senior</t>
  </si>
  <si>
    <t>Lead</t>
  </si>
  <si>
    <t>2024-01-20</t>
  </si>
  <si>
    <t>2024-02-05</t>
  </si>
  <si>
    <t>2023-04-24</t>
  </si>
  <si>
    <t>2021-12-07</t>
  </si>
  <si>
    <t>2023-01-15</t>
  </si>
  <si>
    <t>2020-12-01</t>
  </si>
  <si>
    <t>2024-02-07</t>
  </si>
  <si>
    <t>2022-01-18</t>
  </si>
  <si>
    <t>2022-02-16</t>
  </si>
  <si>
    <t>2023-06-13</t>
  </si>
  <si>
    <t>2023-03-24</t>
  </si>
  <si>
    <t>2021-11-29</t>
  </si>
  <si>
    <t>2020-08-25</t>
  </si>
  <si>
    <t>2022-04-06</t>
  </si>
  <si>
    <t>2021-04-15</t>
  </si>
  <si>
    <t>2020-06-15</t>
  </si>
  <si>
    <t>2022-10-10</t>
  </si>
  <si>
    <t>2020-03-03</t>
  </si>
  <si>
    <t>2024-01-12</t>
  </si>
  <si>
    <t>2020-12-15</t>
  </si>
  <si>
    <t>2021-05-24</t>
  </si>
  <si>
    <t>2020-09-18</t>
  </si>
  <si>
    <t>2021-08-11</t>
  </si>
  <si>
    <t>2020-03-27</t>
  </si>
  <si>
    <t>2021-07-08</t>
  </si>
  <si>
    <t>2022-10-13</t>
  </si>
  <si>
    <t>2023-06-23</t>
  </si>
  <si>
    <t>2023-10-16</t>
  </si>
  <si>
    <t>2020-02-29</t>
  </si>
  <si>
    <t>2022-03-25</t>
  </si>
  <si>
    <t>2020-07-20</t>
  </si>
  <si>
    <t>2023-04-22</t>
  </si>
  <si>
    <t>2020-01-17</t>
  </si>
  <si>
    <t>2020-06-22</t>
  </si>
  <si>
    <t>2021-05-21</t>
  </si>
  <si>
    <t>2023-09-12</t>
  </si>
  <si>
    <t>2023-06-05</t>
  </si>
  <si>
    <t>2020-09-03</t>
  </si>
  <si>
    <t>2024-01-07</t>
  </si>
  <si>
    <t>2020-09-30</t>
  </si>
  <si>
    <t>2022-02-20</t>
  </si>
  <si>
    <t>2020-07-14</t>
  </si>
  <si>
    <t>2021-07-28</t>
  </si>
  <si>
    <t>2023-05-20</t>
  </si>
  <si>
    <t>2023-07-21</t>
  </si>
  <si>
    <t>2022-05-18</t>
  </si>
  <si>
    <t>2020-05-27</t>
  </si>
  <si>
    <t>2021-04-23</t>
  </si>
  <si>
    <t>2023-02-09</t>
  </si>
  <si>
    <t>2023-03-20</t>
  </si>
  <si>
    <t>2021-01-06</t>
  </si>
  <si>
    <t>2022-03-11</t>
  </si>
  <si>
    <t>2023-06-11</t>
  </si>
  <si>
    <t>2023-01-27</t>
  </si>
  <si>
    <t>2021-02-25</t>
  </si>
  <si>
    <t>2023-04-15</t>
  </si>
  <si>
    <t>2021-06-21</t>
  </si>
  <si>
    <t>2023-03-03</t>
  </si>
  <si>
    <t>2022-10-18</t>
  </si>
  <si>
    <t>2020-11-10</t>
  </si>
  <si>
    <t>2024-02-08</t>
  </si>
  <si>
    <t>2020-10-07</t>
  </si>
  <si>
    <t>2023-08-24</t>
  </si>
  <si>
    <t>2020-11-16</t>
  </si>
  <si>
    <t>2023-02-12</t>
  </si>
  <si>
    <t>2022-08-19</t>
  </si>
  <si>
    <t>2023-08-30</t>
  </si>
  <si>
    <t>2021-11-27</t>
  </si>
  <si>
    <t>2020-12-27</t>
  </si>
  <si>
    <t>2021-07-12</t>
  </si>
  <si>
    <t>2021-07-19</t>
  </si>
  <si>
    <t>2022-09-23</t>
  </si>
  <si>
    <t>2023-07-13</t>
  </si>
  <si>
    <t>2023-06-06</t>
  </si>
  <si>
    <t>2020-11-25</t>
  </si>
  <si>
    <t>2022-02-01</t>
  </si>
  <si>
    <t>2020-02-06</t>
  </si>
  <si>
    <t>2022-10-06</t>
  </si>
  <si>
    <t>2021-05-31</t>
  </si>
  <si>
    <t>2023-05-04</t>
  </si>
  <si>
    <t>2021-07-25</t>
  </si>
  <si>
    <t>2020-07-22</t>
  </si>
  <si>
    <t>2020-11-14</t>
  </si>
  <si>
    <t>2020-06-17</t>
  </si>
  <si>
    <t>2020-06-23</t>
  </si>
  <si>
    <t>2021-09-26</t>
  </si>
  <si>
    <t>2021-07-22</t>
  </si>
  <si>
    <t>2023-01-25</t>
  </si>
  <si>
    <t>2021-08-15</t>
  </si>
  <si>
    <t>2020-04-02</t>
  </si>
  <si>
    <t>2022-11-18</t>
  </si>
  <si>
    <t>2020-12-06</t>
  </si>
  <si>
    <t>2021-10-05</t>
  </si>
  <si>
    <t>2022-06-07</t>
  </si>
  <si>
    <t>On-site</t>
  </si>
  <si>
    <t>Hybrid</t>
  </si>
  <si>
    <t>Remote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</si>
</sst>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cols>
    <col min="1" max="20" width="15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120</v>
      </c>
      <c r="C2" t="s">
        <v>220</v>
      </c>
      <c r="D2" t="s">
        <v>226</v>
      </c>
      <c r="E2" t="s">
        <v>231</v>
      </c>
      <c r="F2" t="s">
        <v>325</v>
      </c>
      <c r="G2">
        <v>136949</v>
      </c>
      <c r="H2">
        <v>2.9</v>
      </c>
      <c r="I2" s="2">
        <f>G2*(H2/5)*0.1</f>
        <v>0</v>
      </c>
      <c r="J2">
        <v>6</v>
      </c>
      <c r="K2">
        <v>78</v>
      </c>
      <c r="L2" s="2">
        <f>J2*K2</f>
        <v>0</v>
      </c>
      <c r="M2">
        <v>2000</v>
      </c>
      <c r="N2">
        <v>500</v>
      </c>
      <c r="O2" s="2">
        <f>G2+I2+L2+M2+N2</f>
        <v>0</v>
      </c>
      <c r="P2" s="2">
        <f>G2*0.12</f>
        <v>0</v>
      </c>
      <c r="Q2" s="2">
        <f>IF(D2="Director", 1000, 500)</f>
        <v>0</v>
      </c>
      <c r="R2" s="2">
        <f>IF(O2&lt;70000, O2*0.05, IF(O2&lt;110000, 3500+(O2-70000)*0.15, 9500+(O2-110000)*0.25))</f>
        <v>0</v>
      </c>
      <c r="S2" s="2">
        <f>P2+Q2+R2</f>
        <v>0</v>
      </c>
      <c r="T2" s="2">
        <f>O2-S2</f>
        <v>0</v>
      </c>
    </row>
    <row r="3" spans="1:20">
      <c r="A3" t="s">
        <v>21</v>
      </c>
      <c r="B3" t="s">
        <v>121</v>
      </c>
      <c r="C3" t="s">
        <v>221</v>
      </c>
      <c r="D3" t="s">
        <v>227</v>
      </c>
      <c r="E3" t="s">
        <v>232</v>
      </c>
      <c r="F3" t="s">
        <v>326</v>
      </c>
      <c r="G3">
        <v>57686</v>
      </c>
      <c r="H3">
        <v>4.1</v>
      </c>
      <c r="I3" s="2">
        <f>G3*(H3/5)*0.1</f>
        <v>0</v>
      </c>
      <c r="J3">
        <v>12</v>
      </c>
      <c r="K3">
        <v>75</v>
      </c>
      <c r="L3" s="2">
        <f>J3*K3</f>
        <v>0</v>
      </c>
      <c r="M3">
        <v>2000</v>
      </c>
      <c r="N3">
        <v>500</v>
      </c>
      <c r="O3" s="2">
        <f>G3+I3+L3+M3+N3</f>
        <v>0</v>
      </c>
      <c r="P3" s="2">
        <f>G3*0.12</f>
        <v>0</v>
      </c>
      <c r="Q3" s="2">
        <f>IF(D3="Director", 1000, 500)</f>
        <v>0</v>
      </c>
      <c r="R3" s="2">
        <f>IF(O3&lt;70000, O3*0.05, IF(O3&lt;110000, 3500+(O3-70000)*0.15, 9500+(O3-110000)*0.25))</f>
        <v>0</v>
      </c>
      <c r="S3" s="2">
        <f>P3+Q3+R3</f>
        <v>0</v>
      </c>
      <c r="T3" s="2">
        <f>O3-S3</f>
        <v>0</v>
      </c>
    </row>
    <row r="4" spans="1:20">
      <c r="A4" t="s">
        <v>22</v>
      </c>
      <c r="B4" t="s">
        <v>122</v>
      </c>
      <c r="C4" t="s">
        <v>220</v>
      </c>
      <c r="D4" t="s">
        <v>228</v>
      </c>
      <c r="E4" t="s">
        <v>233</v>
      </c>
      <c r="F4" t="s">
        <v>326</v>
      </c>
      <c r="G4">
        <v>100178</v>
      </c>
      <c r="H4">
        <v>2.7</v>
      </c>
      <c r="I4" s="2">
        <f>G4*(H4/5)*0.1</f>
        <v>0</v>
      </c>
      <c r="J4">
        <v>7</v>
      </c>
      <c r="K4">
        <v>69</v>
      </c>
      <c r="L4" s="2">
        <f>J4*K4</f>
        <v>0</v>
      </c>
      <c r="M4">
        <v>2000</v>
      </c>
      <c r="N4">
        <v>500</v>
      </c>
      <c r="O4" s="2">
        <f>G4+I4+L4+M4+N4</f>
        <v>0</v>
      </c>
      <c r="P4" s="2">
        <f>G4*0.12</f>
        <v>0</v>
      </c>
      <c r="Q4" s="2">
        <f>IF(D4="Director", 1000, 500)</f>
        <v>0</v>
      </c>
      <c r="R4" s="2">
        <f>IF(O4&lt;70000, O4*0.05, IF(O4&lt;110000, 3500+(O4-70000)*0.15, 9500+(O4-110000)*0.25))</f>
        <v>0</v>
      </c>
      <c r="S4" s="2">
        <f>P4+Q4+R4</f>
        <v>0</v>
      </c>
      <c r="T4" s="2">
        <f>O4-S4</f>
        <v>0</v>
      </c>
    </row>
    <row r="5" spans="1:20">
      <c r="A5" t="s">
        <v>23</v>
      </c>
      <c r="B5" t="s">
        <v>123</v>
      </c>
      <c r="C5" t="s">
        <v>222</v>
      </c>
      <c r="D5" t="s">
        <v>226</v>
      </c>
      <c r="E5" t="s">
        <v>234</v>
      </c>
      <c r="F5" t="s">
        <v>326</v>
      </c>
      <c r="G5">
        <v>137133</v>
      </c>
      <c r="H5">
        <v>5</v>
      </c>
      <c r="I5" s="2">
        <f>G5*(H5/5)*0.1</f>
        <v>0</v>
      </c>
      <c r="J5">
        <v>12</v>
      </c>
      <c r="K5">
        <v>44</v>
      </c>
      <c r="L5" s="2">
        <f>J5*K5</f>
        <v>0</v>
      </c>
      <c r="M5">
        <v>2000</v>
      </c>
      <c r="N5">
        <v>500</v>
      </c>
      <c r="O5" s="2">
        <f>G5+I5+L5+M5+N5</f>
        <v>0</v>
      </c>
      <c r="P5" s="2">
        <f>G5*0.12</f>
        <v>0</v>
      </c>
      <c r="Q5" s="2">
        <f>IF(D5="Director", 1000, 500)</f>
        <v>0</v>
      </c>
      <c r="R5" s="2">
        <f>IF(O5&lt;70000, O5*0.05, IF(O5&lt;110000, 3500+(O5-70000)*0.15, 9500+(O5-110000)*0.25))</f>
        <v>0</v>
      </c>
      <c r="S5" s="2">
        <f>P5+Q5+R5</f>
        <v>0</v>
      </c>
      <c r="T5" s="2">
        <f>O5-S5</f>
        <v>0</v>
      </c>
    </row>
    <row r="6" spans="1:20">
      <c r="A6" t="s">
        <v>24</v>
      </c>
      <c r="B6" t="s">
        <v>124</v>
      </c>
      <c r="C6" t="s">
        <v>220</v>
      </c>
      <c r="D6" t="s">
        <v>229</v>
      </c>
      <c r="E6" t="s">
        <v>235</v>
      </c>
      <c r="F6" t="s">
        <v>326</v>
      </c>
      <c r="G6">
        <v>60810</v>
      </c>
      <c r="H6">
        <v>3.5</v>
      </c>
      <c r="I6" s="2">
        <f>G6*(H6/5)*0.1</f>
        <v>0</v>
      </c>
      <c r="J6">
        <v>6</v>
      </c>
      <c r="K6">
        <v>75</v>
      </c>
      <c r="L6" s="2">
        <f>J6*K6</f>
        <v>0</v>
      </c>
      <c r="M6">
        <v>2000</v>
      </c>
      <c r="N6">
        <v>500</v>
      </c>
      <c r="O6" s="2">
        <f>G6+I6+L6+M6+N6</f>
        <v>0</v>
      </c>
      <c r="P6" s="2">
        <f>G6*0.12</f>
        <v>0</v>
      </c>
      <c r="Q6" s="2">
        <f>IF(D6="Director", 1000, 500)</f>
        <v>0</v>
      </c>
      <c r="R6" s="2">
        <f>IF(O6&lt;70000, O6*0.05, IF(O6&lt;110000, 3500+(O6-70000)*0.15, 9500+(O6-110000)*0.25))</f>
        <v>0</v>
      </c>
      <c r="S6" s="2">
        <f>P6+Q6+R6</f>
        <v>0</v>
      </c>
      <c r="T6" s="2">
        <f>O6-S6</f>
        <v>0</v>
      </c>
    </row>
    <row r="7" spans="1:20">
      <c r="A7" t="s">
        <v>25</v>
      </c>
      <c r="B7" t="s">
        <v>125</v>
      </c>
      <c r="C7" t="s">
        <v>223</v>
      </c>
      <c r="D7" t="s">
        <v>228</v>
      </c>
      <c r="E7" t="s">
        <v>236</v>
      </c>
      <c r="F7" t="s">
        <v>325</v>
      </c>
      <c r="G7">
        <v>118822</v>
      </c>
      <c r="H7">
        <v>1.4</v>
      </c>
      <c r="I7" s="2">
        <f>G7*(H7/5)*0.1</f>
        <v>0</v>
      </c>
      <c r="J7">
        <v>14</v>
      </c>
      <c r="K7">
        <v>58</v>
      </c>
      <c r="L7" s="2">
        <f>J7*K7</f>
        <v>0</v>
      </c>
      <c r="M7">
        <v>2000</v>
      </c>
      <c r="N7">
        <v>500</v>
      </c>
      <c r="O7" s="2">
        <f>G7+I7+L7+M7+N7</f>
        <v>0</v>
      </c>
      <c r="P7" s="2">
        <f>G7*0.12</f>
        <v>0</v>
      </c>
      <c r="Q7" s="2">
        <f>IF(D7="Director", 1000, 500)</f>
        <v>0</v>
      </c>
      <c r="R7" s="2">
        <f>IF(O7&lt;70000, O7*0.05, IF(O7&lt;110000, 3500+(O7-70000)*0.15, 9500+(O7-110000)*0.25))</f>
        <v>0</v>
      </c>
      <c r="S7" s="2">
        <f>P7+Q7+R7</f>
        <v>0</v>
      </c>
      <c r="T7" s="2">
        <f>O7-S7</f>
        <v>0</v>
      </c>
    </row>
    <row r="8" spans="1:20">
      <c r="A8" t="s">
        <v>26</v>
      </c>
      <c r="B8" t="s">
        <v>126</v>
      </c>
      <c r="C8" t="s">
        <v>222</v>
      </c>
      <c r="D8" t="s">
        <v>229</v>
      </c>
      <c r="E8" t="s">
        <v>237</v>
      </c>
      <c r="F8" t="s">
        <v>326</v>
      </c>
      <c r="G8">
        <v>140171</v>
      </c>
      <c r="H8">
        <v>3.3</v>
      </c>
      <c r="I8" s="2">
        <f>G8*(H8/5)*0.1</f>
        <v>0</v>
      </c>
      <c r="J8">
        <v>3</v>
      </c>
      <c r="K8">
        <v>61</v>
      </c>
      <c r="L8" s="2">
        <f>J8*K8</f>
        <v>0</v>
      </c>
      <c r="M8">
        <v>2000</v>
      </c>
      <c r="N8">
        <v>500</v>
      </c>
      <c r="O8" s="2">
        <f>G8+I8+L8+M8+N8</f>
        <v>0</v>
      </c>
      <c r="P8" s="2">
        <f>G8*0.12</f>
        <v>0</v>
      </c>
      <c r="Q8" s="2">
        <f>IF(D8="Director", 1000, 500)</f>
        <v>0</v>
      </c>
      <c r="R8" s="2">
        <f>IF(O8&lt;70000, O8*0.05, IF(O8&lt;110000, 3500+(O8-70000)*0.15, 9500+(O8-110000)*0.25))</f>
        <v>0</v>
      </c>
      <c r="S8" s="2">
        <f>P8+Q8+R8</f>
        <v>0</v>
      </c>
      <c r="T8" s="2">
        <f>O8-S8</f>
        <v>0</v>
      </c>
    </row>
    <row r="9" spans="1:20">
      <c r="A9" t="s">
        <v>27</v>
      </c>
      <c r="B9" t="s">
        <v>127</v>
      </c>
      <c r="C9" t="s">
        <v>224</v>
      </c>
      <c r="D9" t="s">
        <v>228</v>
      </c>
      <c r="E9" t="s">
        <v>238</v>
      </c>
      <c r="F9" t="s">
        <v>327</v>
      </c>
      <c r="G9">
        <v>106667</v>
      </c>
      <c r="H9">
        <v>2.6</v>
      </c>
      <c r="I9" s="2">
        <f>G9*(H9/5)*0.1</f>
        <v>0</v>
      </c>
      <c r="J9">
        <v>8</v>
      </c>
      <c r="K9">
        <v>34</v>
      </c>
      <c r="L9" s="2">
        <f>J9*K9</f>
        <v>0</v>
      </c>
      <c r="M9">
        <v>2000</v>
      </c>
      <c r="N9">
        <v>500</v>
      </c>
      <c r="O9" s="2">
        <f>G9+I9+L9+M9+N9</f>
        <v>0</v>
      </c>
      <c r="P9" s="2">
        <f>G9*0.12</f>
        <v>0</v>
      </c>
      <c r="Q9" s="2">
        <f>IF(D9="Director", 1000, 500)</f>
        <v>0</v>
      </c>
      <c r="R9" s="2">
        <f>IF(O9&lt;70000, O9*0.05, IF(O9&lt;110000, 3500+(O9-70000)*0.15, 9500+(O9-110000)*0.25))</f>
        <v>0</v>
      </c>
      <c r="S9" s="2">
        <f>P9+Q9+R9</f>
        <v>0</v>
      </c>
      <c r="T9" s="2">
        <f>O9-S9</f>
        <v>0</v>
      </c>
    </row>
    <row r="10" spans="1:20">
      <c r="A10" t="s">
        <v>28</v>
      </c>
      <c r="B10" t="s">
        <v>128</v>
      </c>
      <c r="C10" t="s">
        <v>223</v>
      </c>
      <c r="D10" t="s">
        <v>230</v>
      </c>
      <c r="E10" t="s">
        <v>239</v>
      </c>
      <c r="F10" t="s">
        <v>325</v>
      </c>
      <c r="G10">
        <v>83785</v>
      </c>
      <c r="H10">
        <v>2.8</v>
      </c>
      <c r="I10" s="2">
        <f>G10*(H10/5)*0.1</f>
        <v>0</v>
      </c>
      <c r="J10">
        <v>18</v>
      </c>
      <c r="K10">
        <v>45</v>
      </c>
      <c r="L10" s="2">
        <f>J10*K10</f>
        <v>0</v>
      </c>
      <c r="M10">
        <v>2000</v>
      </c>
      <c r="N10">
        <v>500</v>
      </c>
      <c r="O10" s="2">
        <f>G10+I10+L10+M10+N10</f>
        <v>0</v>
      </c>
      <c r="P10" s="2">
        <f>G10*0.12</f>
        <v>0</v>
      </c>
      <c r="Q10" s="2">
        <f>IF(D10="Director", 1000, 500)</f>
        <v>0</v>
      </c>
      <c r="R10" s="2">
        <f>IF(O10&lt;70000, O10*0.05, IF(O10&lt;110000, 3500+(O10-70000)*0.15, 9500+(O10-110000)*0.25))</f>
        <v>0</v>
      </c>
      <c r="S10" s="2">
        <f>P10+Q10+R10</f>
        <v>0</v>
      </c>
      <c r="T10" s="2">
        <f>O10-S10</f>
        <v>0</v>
      </c>
    </row>
    <row r="11" spans="1:20">
      <c r="A11" t="s">
        <v>29</v>
      </c>
      <c r="B11" t="s">
        <v>129</v>
      </c>
      <c r="C11" t="s">
        <v>225</v>
      </c>
      <c r="D11" t="s">
        <v>226</v>
      </c>
      <c r="E11" t="s">
        <v>240</v>
      </c>
      <c r="F11" t="s">
        <v>326</v>
      </c>
      <c r="G11">
        <v>136063</v>
      </c>
      <c r="H11">
        <v>4.3</v>
      </c>
      <c r="I11" s="2">
        <f>G11*(H11/5)*0.1</f>
        <v>0</v>
      </c>
      <c r="J11">
        <v>16</v>
      </c>
      <c r="K11">
        <v>64</v>
      </c>
      <c r="L11" s="2">
        <f>J11*K11</f>
        <v>0</v>
      </c>
      <c r="M11">
        <v>2000</v>
      </c>
      <c r="N11">
        <v>500</v>
      </c>
      <c r="O11" s="2">
        <f>G11+I11+L11+M11+N11</f>
        <v>0</v>
      </c>
      <c r="P11" s="2">
        <f>G11*0.12</f>
        <v>0</v>
      </c>
      <c r="Q11" s="2">
        <f>IF(D11="Director", 1000, 500)</f>
        <v>0</v>
      </c>
      <c r="R11" s="2">
        <f>IF(O11&lt;70000, O11*0.05, IF(O11&lt;110000, 3500+(O11-70000)*0.15, 9500+(O11-110000)*0.25))</f>
        <v>0</v>
      </c>
      <c r="S11" s="2">
        <f>P11+Q11+R11</f>
        <v>0</v>
      </c>
      <c r="T11" s="2">
        <f>O11-S11</f>
        <v>0</v>
      </c>
    </row>
    <row r="12" spans="1:20">
      <c r="A12" t="s">
        <v>30</v>
      </c>
      <c r="B12" t="s">
        <v>130</v>
      </c>
      <c r="C12" t="s">
        <v>223</v>
      </c>
      <c r="D12" t="s">
        <v>227</v>
      </c>
      <c r="E12" t="s">
        <v>241</v>
      </c>
      <c r="F12" t="s">
        <v>325</v>
      </c>
      <c r="G12">
        <v>75089</v>
      </c>
      <c r="H12">
        <v>4.2</v>
      </c>
      <c r="I12" s="2">
        <f>G12*(H12/5)*0.1</f>
        <v>0</v>
      </c>
      <c r="J12">
        <v>12</v>
      </c>
      <c r="K12">
        <v>42</v>
      </c>
      <c r="L12" s="2">
        <f>J12*K12</f>
        <v>0</v>
      </c>
      <c r="M12">
        <v>2000</v>
      </c>
      <c r="N12">
        <v>500</v>
      </c>
      <c r="O12" s="2">
        <f>G12+I12+L12+M12+N12</f>
        <v>0</v>
      </c>
      <c r="P12" s="2">
        <f>G12*0.12</f>
        <v>0</v>
      </c>
      <c r="Q12" s="2">
        <f>IF(D12="Director", 1000, 500)</f>
        <v>0</v>
      </c>
      <c r="R12" s="2">
        <f>IF(O12&lt;70000, O12*0.05, IF(O12&lt;110000, 3500+(O12-70000)*0.15, 9500+(O12-110000)*0.25))</f>
        <v>0</v>
      </c>
      <c r="S12" s="2">
        <f>P12+Q12+R12</f>
        <v>0</v>
      </c>
      <c r="T12" s="2">
        <f>O12-S12</f>
        <v>0</v>
      </c>
    </row>
    <row r="13" spans="1:20">
      <c r="A13" t="s">
        <v>31</v>
      </c>
      <c r="B13" t="s">
        <v>131</v>
      </c>
      <c r="C13" t="s">
        <v>224</v>
      </c>
      <c r="D13" t="s">
        <v>228</v>
      </c>
      <c r="E13" t="s">
        <v>242</v>
      </c>
      <c r="F13" t="s">
        <v>326</v>
      </c>
      <c r="G13">
        <v>90130</v>
      </c>
      <c r="H13">
        <v>4</v>
      </c>
      <c r="I13" s="2">
        <f>G13*(H13/5)*0.1</f>
        <v>0</v>
      </c>
      <c r="J13">
        <v>4</v>
      </c>
      <c r="K13">
        <v>54</v>
      </c>
      <c r="L13" s="2">
        <f>J13*K13</f>
        <v>0</v>
      </c>
      <c r="M13">
        <v>2000</v>
      </c>
      <c r="N13">
        <v>500</v>
      </c>
      <c r="O13" s="2">
        <f>G13+I13+L13+M13+N13</f>
        <v>0</v>
      </c>
      <c r="P13" s="2">
        <f>G13*0.12</f>
        <v>0</v>
      </c>
      <c r="Q13" s="2">
        <f>IF(D13="Director", 1000, 500)</f>
        <v>0</v>
      </c>
      <c r="R13" s="2">
        <f>IF(O13&lt;70000, O13*0.05, IF(O13&lt;110000, 3500+(O13-70000)*0.15, 9500+(O13-110000)*0.25))</f>
        <v>0</v>
      </c>
      <c r="S13" s="2">
        <f>P13+Q13+R13</f>
        <v>0</v>
      </c>
      <c r="T13" s="2">
        <f>O13-S13</f>
        <v>0</v>
      </c>
    </row>
    <row r="14" spans="1:20">
      <c r="A14" t="s">
        <v>32</v>
      </c>
      <c r="B14" t="s">
        <v>132</v>
      </c>
      <c r="C14" t="s">
        <v>220</v>
      </c>
      <c r="D14" t="s">
        <v>227</v>
      </c>
      <c r="E14" t="s">
        <v>243</v>
      </c>
      <c r="F14" t="s">
        <v>326</v>
      </c>
      <c r="G14">
        <v>137730</v>
      </c>
      <c r="H14">
        <v>4</v>
      </c>
      <c r="I14" s="2">
        <f>G14*(H14/5)*0.1</f>
        <v>0</v>
      </c>
      <c r="J14">
        <v>13</v>
      </c>
      <c r="K14">
        <v>30</v>
      </c>
      <c r="L14" s="2">
        <f>J14*K14</f>
        <v>0</v>
      </c>
      <c r="M14">
        <v>2000</v>
      </c>
      <c r="N14">
        <v>500</v>
      </c>
      <c r="O14" s="2">
        <f>G14+I14+L14+M14+N14</f>
        <v>0</v>
      </c>
      <c r="P14" s="2">
        <f>G14*0.12</f>
        <v>0</v>
      </c>
      <c r="Q14" s="2">
        <f>IF(D14="Director", 1000, 500)</f>
        <v>0</v>
      </c>
      <c r="R14" s="2">
        <f>IF(O14&lt;70000, O14*0.05, IF(O14&lt;110000, 3500+(O14-70000)*0.15, 9500+(O14-110000)*0.25))</f>
        <v>0</v>
      </c>
      <c r="S14" s="2">
        <f>P14+Q14+R14</f>
        <v>0</v>
      </c>
      <c r="T14" s="2">
        <f>O14-S14</f>
        <v>0</v>
      </c>
    </row>
    <row r="15" spans="1:20">
      <c r="A15" t="s">
        <v>33</v>
      </c>
      <c r="B15" t="s">
        <v>133</v>
      </c>
      <c r="C15" t="s">
        <v>223</v>
      </c>
      <c r="D15" t="s">
        <v>226</v>
      </c>
      <c r="E15" t="s">
        <v>244</v>
      </c>
      <c r="F15" t="s">
        <v>326</v>
      </c>
      <c r="G15">
        <v>125165</v>
      </c>
      <c r="H15">
        <v>1.7</v>
      </c>
      <c r="I15" s="2">
        <f>G15*(H15/5)*0.1</f>
        <v>0</v>
      </c>
      <c r="J15">
        <v>1</v>
      </c>
      <c r="K15">
        <v>31</v>
      </c>
      <c r="L15" s="2">
        <f>J15*K15</f>
        <v>0</v>
      </c>
      <c r="M15">
        <v>2000</v>
      </c>
      <c r="N15">
        <v>500</v>
      </c>
      <c r="O15" s="2">
        <f>G15+I15+L15+M15+N15</f>
        <v>0</v>
      </c>
      <c r="P15" s="2">
        <f>G15*0.12</f>
        <v>0</v>
      </c>
      <c r="Q15" s="2">
        <f>IF(D15="Director", 1000, 500)</f>
        <v>0</v>
      </c>
      <c r="R15" s="2">
        <f>IF(O15&lt;70000, O15*0.05, IF(O15&lt;110000, 3500+(O15-70000)*0.15, 9500+(O15-110000)*0.25))</f>
        <v>0</v>
      </c>
      <c r="S15" s="2">
        <f>P15+Q15+R15</f>
        <v>0</v>
      </c>
      <c r="T15" s="2">
        <f>O15-S15</f>
        <v>0</v>
      </c>
    </row>
    <row r="16" spans="1:20">
      <c r="A16" t="s">
        <v>34</v>
      </c>
      <c r="B16" t="s">
        <v>134</v>
      </c>
      <c r="C16" t="s">
        <v>221</v>
      </c>
      <c r="D16" t="s">
        <v>230</v>
      </c>
      <c r="E16" t="s">
        <v>245</v>
      </c>
      <c r="F16" t="s">
        <v>327</v>
      </c>
      <c r="G16">
        <v>140450</v>
      </c>
      <c r="H16">
        <v>1.9</v>
      </c>
      <c r="I16" s="2">
        <f>G16*(H16/5)*0.1</f>
        <v>0</v>
      </c>
      <c r="J16">
        <v>20</v>
      </c>
      <c r="K16">
        <v>62</v>
      </c>
      <c r="L16" s="2">
        <f>J16*K16</f>
        <v>0</v>
      </c>
      <c r="M16">
        <v>2000</v>
      </c>
      <c r="N16">
        <v>500</v>
      </c>
      <c r="O16" s="2">
        <f>G16+I16+L16+M16+N16</f>
        <v>0</v>
      </c>
      <c r="P16" s="2">
        <f>G16*0.12</f>
        <v>0</v>
      </c>
      <c r="Q16" s="2">
        <f>IF(D16="Director", 1000, 500)</f>
        <v>0</v>
      </c>
      <c r="R16" s="2">
        <f>IF(O16&lt;70000, O16*0.05, IF(O16&lt;110000, 3500+(O16-70000)*0.15, 9500+(O16-110000)*0.25))</f>
        <v>0</v>
      </c>
      <c r="S16" s="2">
        <f>P16+Q16+R16</f>
        <v>0</v>
      </c>
      <c r="T16" s="2">
        <f>O16-S16</f>
        <v>0</v>
      </c>
    </row>
    <row r="17" spans="1:20">
      <c r="A17" t="s">
        <v>35</v>
      </c>
      <c r="B17" t="s">
        <v>135</v>
      </c>
      <c r="C17" t="s">
        <v>221</v>
      </c>
      <c r="D17" t="s">
        <v>229</v>
      </c>
      <c r="E17" t="s">
        <v>246</v>
      </c>
      <c r="F17" t="s">
        <v>326</v>
      </c>
      <c r="G17">
        <v>131581</v>
      </c>
      <c r="H17">
        <v>1.1</v>
      </c>
      <c r="I17" s="2">
        <f>G17*(H17/5)*0.1</f>
        <v>0</v>
      </c>
      <c r="J17">
        <v>14</v>
      </c>
      <c r="K17">
        <v>46</v>
      </c>
      <c r="L17" s="2">
        <f>J17*K17</f>
        <v>0</v>
      </c>
      <c r="M17">
        <v>2000</v>
      </c>
      <c r="N17">
        <v>500</v>
      </c>
      <c r="O17" s="2">
        <f>G17+I17+L17+M17+N17</f>
        <v>0</v>
      </c>
      <c r="P17" s="2">
        <f>G17*0.12</f>
        <v>0</v>
      </c>
      <c r="Q17" s="2">
        <f>IF(D17="Director", 1000, 500)</f>
        <v>0</v>
      </c>
      <c r="R17" s="2">
        <f>IF(O17&lt;70000, O17*0.05, IF(O17&lt;110000, 3500+(O17-70000)*0.15, 9500+(O17-110000)*0.25))</f>
        <v>0</v>
      </c>
      <c r="S17" s="2">
        <f>P17+Q17+R17</f>
        <v>0</v>
      </c>
      <c r="T17" s="2">
        <f>O17-S17</f>
        <v>0</v>
      </c>
    </row>
    <row r="18" spans="1:20">
      <c r="A18" t="s">
        <v>36</v>
      </c>
      <c r="B18" t="s">
        <v>136</v>
      </c>
      <c r="C18" t="s">
        <v>220</v>
      </c>
      <c r="D18" t="s">
        <v>229</v>
      </c>
      <c r="E18" t="s">
        <v>247</v>
      </c>
      <c r="F18" t="s">
        <v>327</v>
      </c>
      <c r="G18">
        <v>96890</v>
      </c>
      <c r="H18">
        <v>4.4</v>
      </c>
      <c r="I18" s="2">
        <f>G18*(H18/5)*0.1</f>
        <v>0</v>
      </c>
      <c r="J18">
        <v>12</v>
      </c>
      <c r="K18">
        <v>35</v>
      </c>
      <c r="L18" s="2">
        <f>J18*K18</f>
        <v>0</v>
      </c>
      <c r="M18">
        <v>2000</v>
      </c>
      <c r="N18">
        <v>500</v>
      </c>
      <c r="O18" s="2">
        <f>G18+I18+L18+M18+N18</f>
        <v>0</v>
      </c>
      <c r="P18" s="2">
        <f>G18*0.12</f>
        <v>0</v>
      </c>
      <c r="Q18" s="2">
        <f>IF(D18="Director", 1000, 500)</f>
        <v>0</v>
      </c>
      <c r="R18" s="2">
        <f>IF(O18&lt;70000, O18*0.05, IF(O18&lt;110000, 3500+(O18-70000)*0.15, 9500+(O18-110000)*0.25))</f>
        <v>0</v>
      </c>
      <c r="S18" s="2">
        <f>P18+Q18+R18</f>
        <v>0</v>
      </c>
      <c r="T18" s="2">
        <f>O18-S18</f>
        <v>0</v>
      </c>
    </row>
    <row r="19" spans="1:20">
      <c r="A19" t="s">
        <v>37</v>
      </c>
      <c r="B19" t="s">
        <v>137</v>
      </c>
      <c r="C19" t="s">
        <v>222</v>
      </c>
      <c r="D19" t="s">
        <v>228</v>
      </c>
      <c r="E19" t="s">
        <v>248</v>
      </c>
      <c r="F19" t="s">
        <v>326</v>
      </c>
      <c r="G19">
        <v>58262</v>
      </c>
      <c r="H19">
        <v>1.2</v>
      </c>
      <c r="I19" s="2">
        <f>G19*(H19/5)*0.1</f>
        <v>0</v>
      </c>
      <c r="J19">
        <v>11</v>
      </c>
      <c r="K19">
        <v>61</v>
      </c>
      <c r="L19" s="2">
        <f>J19*K19</f>
        <v>0</v>
      </c>
      <c r="M19">
        <v>2000</v>
      </c>
      <c r="N19">
        <v>500</v>
      </c>
      <c r="O19" s="2">
        <f>G19+I19+L19+M19+N19</f>
        <v>0</v>
      </c>
      <c r="P19" s="2">
        <f>G19*0.12</f>
        <v>0</v>
      </c>
      <c r="Q19" s="2">
        <f>IF(D19="Director", 1000, 500)</f>
        <v>0</v>
      </c>
      <c r="R19" s="2">
        <f>IF(O19&lt;70000, O19*0.05, IF(O19&lt;110000, 3500+(O19-70000)*0.15, 9500+(O19-110000)*0.25))</f>
        <v>0</v>
      </c>
      <c r="S19" s="2">
        <f>P19+Q19+R19</f>
        <v>0</v>
      </c>
      <c r="T19" s="2">
        <f>O19-S19</f>
        <v>0</v>
      </c>
    </row>
    <row r="20" spans="1:20">
      <c r="A20" t="s">
        <v>38</v>
      </c>
      <c r="B20" t="s">
        <v>138</v>
      </c>
      <c r="C20" t="s">
        <v>220</v>
      </c>
      <c r="D20" t="s">
        <v>226</v>
      </c>
      <c r="E20" t="s">
        <v>249</v>
      </c>
      <c r="F20" t="s">
        <v>326</v>
      </c>
      <c r="G20">
        <v>62480</v>
      </c>
      <c r="H20">
        <v>3.4</v>
      </c>
      <c r="I20" s="2">
        <f>G20*(H20/5)*0.1</f>
        <v>0</v>
      </c>
      <c r="J20">
        <v>5</v>
      </c>
      <c r="K20">
        <v>46</v>
      </c>
      <c r="L20" s="2">
        <f>J20*K20</f>
        <v>0</v>
      </c>
      <c r="M20">
        <v>2000</v>
      </c>
      <c r="N20">
        <v>500</v>
      </c>
      <c r="O20" s="2">
        <f>G20+I20+L20+M20+N20</f>
        <v>0</v>
      </c>
      <c r="P20" s="2">
        <f>G20*0.12</f>
        <v>0</v>
      </c>
      <c r="Q20" s="2">
        <f>IF(D20="Director", 1000, 500)</f>
        <v>0</v>
      </c>
      <c r="R20" s="2">
        <f>IF(O20&lt;70000, O20*0.05, IF(O20&lt;110000, 3500+(O20-70000)*0.15, 9500+(O20-110000)*0.25))</f>
        <v>0</v>
      </c>
      <c r="S20" s="2">
        <f>P20+Q20+R20</f>
        <v>0</v>
      </c>
      <c r="T20" s="2">
        <f>O20-S20</f>
        <v>0</v>
      </c>
    </row>
    <row r="21" spans="1:20">
      <c r="A21" t="s">
        <v>39</v>
      </c>
      <c r="B21" t="s">
        <v>139</v>
      </c>
      <c r="C21" t="s">
        <v>225</v>
      </c>
      <c r="D21" t="s">
        <v>230</v>
      </c>
      <c r="E21" t="s">
        <v>250</v>
      </c>
      <c r="F21" t="s">
        <v>326</v>
      </c>
      <c r="G21">
        <v>99644</v>
      </c>
      <c r="H21">
        <v>2.2</v>
      </c>
      <c r="I21" s="2">
        <f>G21*(H21/5)*0.1</f>
        <v>0</v>
      </c>
      <c r="J21">
        <v>12</v>
      </c>
      <c r="K21">
        <v>62</v>
      </c>
      <c r="L21" s="2">
        <f>J21*K21</f>
        <v>0</v>
      </c>
      <c r="M21">
        <v>2000</v>
      </c>
      <c r="N21">
        <v>500</v>
      </c>
      <c r="O21" s="2">
        <f>G21+I21+L21+M21+N21</f>
        <v>0</v>
      </c>
      <c r="P21" s="2">
        <f>G21*0.12</f>
        <v>0</v>
      </c>
      <c r="Q21" s="2">
        <f>IF(D21="Director", 1000, 500)</f>
        <v>0</v>
      </c>
      <c r="R21" s="2">
        <f>IF(O21&lt;70000, O21*0.05, IF(O21&lt;110000, 3500+(O21-70000)*0.15, 9500+(O21-110000)*0.25))</f>
        <v>0</v>
      </c>
      <c r="S21" s="2">
        <f>P21+Q21+R21</f>
        <v>0</v>
      </c>
      <c r="T21" s="2">
        <f>O21-S21</f>
        <v>0</v>
      </c>
    </row>
    <row r="22" spans="1:20">
      <c r="A22" t="s">
        <v>40</v>
      </c>
      <c r="B22" t="s">
        <v>140</v>
      </c>
      <c r="C22" t="s">
        <v>224</v>
      </c>
      <c r="D22" t="s">
        <v>226</v>
      </c>
      <c r="E22" t="s">
        <v>251</v>
      </c>
      <c r="F22" t="s">
        <v>325</v>
      </c>
      <c r="G22">
        <v>145172</v>
      </c>
      <c r="H22">
        <v>1.1</v>
      </c>
      <c r="I22" s="2">
        <f>G22*(H22/5)*0.1</f>
        <v>0</v>
      </c>
      <c r="J22">
        <v>7</v>
      </c>
      <c r="K22">
        <v>34</v>
      </c>
      <c r="L22" s="2">
        <f>J22*K22</f>
        <v>0</v>
      </c>
      <c r="M22">
        <v>2000</v>
      </c>
      <c r="N22">
        <v>500</v>
      </c>
      <c r="O22" s="2">
        <f>G22+I22+L22+M22+N22</f>
        <v>0</v>
      </c>
      <c r="P22" s="2">
        <f>G22*0.12</f>
        <v>0</v>
      </c>
      <c r="Q22" s="2">
        <f>IF(D22="Director", 1000, 500)</f>
        <v>0</v>
      </c>
      <c r="R22" s="2">
        <f>IF(O22&lt;70000, O22*0.05, IF(O22&lt;110000, 3500+(O22-70000)*0.15, 9500+(O22-110000)*0.25))</f>
        <v>0</v>
      </c>
      <c r="S22" s="2">
        <f>P22+Q22+R22</f>
        <v>0</v>
      </c>
      <c r="T22" s="2">
        <f>O22-S22</f>
        <v>0</v>
      </c>
    </row>
    <row r="23" spans="1:20">
      <c r="A23" t="s">
        <v>41</v>
      </c>
      <c r="B23" t="s">
        <v>141</v>
      </c>
      <c r="C23" t="s">
        <v>220</v>
      </c>
      <c r="D23" t="s">
        <v>228</v>
      </c>
      <c r="E23" t="s">
        <v>241</v>
      </c>
      <c r="F23" t="s">
        <v>325</v>
      </c>
      <c r="G23">
        <v>72584</v>
      </c>
      <c r="H23">
        <v>2.8</v>
      </c>
      <c r="I23" s="2">
        <f>G23*(H23/5)*0.1</f>
        <v>0</v>
      </c>
      <c r="J23">
        <v>17</v>
      </c>
      <c r="K23">
        <v>71</v>
      </c>
      <c r="L23" s="2">
        <f>J23*K23</f>
        <v>0</v>
      </c>
      <c r="M23">
        <v>2000</v>
      </c>
      <c r="N23">
        <v>500</v>
      </c>
      <c r="O23" s="2">
        <f>G23+I23+L23+M23+N23</f>
        <v>0</v>
      </c>
      <c r="P23" s="2">
        <f>G23*0.12</f>
        <v>0</v>
      </c>
      <c r="Q23" s="2">
        <f>IF(D23="Director", 1000, 500)</f>
        <v>0</v>
      </c>
      <c r="R23" s="2">
        <f>IF(O23&lt;70000, O23*0.05, IF(O23&lt;110000, 3500+(O23-70000)*0.15, 9500+(O23-110000)*0.25))</f>
        <v>0</v>
      </c>
      <c r="S23" s="2">
        <f>P23+Q23+R23</f>
        <v>0</v>
      </c>
      <c r="T23" s="2">
        <f>O23-S23</f>
        <v>0</v>
      </c>
    </row>
    <row r="24" spans="1:20">
      <c r="A24" t="s">
        <v>42</v>
      </c>
      <c r="B24" t="s">
        <v>142</v>
      </c>
      <c r="C24" t="s">
        <v>221</v>
      </c>
      <c r="D24" t="s">
        <v>228</v>
      </c>
      <c r="E24" t="s">
        <v>252</v>
      </c>
      <c r="F24" t="s">
        <v>326</v>
      </c>
      <c r="G24">
        <v>103026</v>
      </c>
      <c r="H24">
        <v>3.8</v>
      </c>
      <c r="I24" s="2">
        <f>G24*(H24/5)*0.1</f>
        <v>0</v>
      </c>
      <c r="J24">
        <v>14</v>
      </c>
      <c r="K24">
        <v>79</v>
      </c>
      <c r="L24" s="2">
        <f>J24*K24</f>
        <v>0</v>
      </c>
      <c r="M24">
        <v>2000</v>
      </c>
      <c r="N24">
        <v>500</v>
      </c>
      <c r="O24" s="2">
        <f>G24+I24+L24+M24+N24</f>
        <v>0</v>
      </c>
      <c r="P24" s="2">
        <f>G24*0.12</f>
        <v>0</v>
      </c>
      <c r="Q24" s="2">
        <f>IF(D24="Director", 1000, 500)</f>
        <v>0</v>
      </c>
      <c r="R24" s="2">
        <f>IF(O24&lt;70000, O24*0.05, IF(O24&lt;110000, 3500+(O24-70000)*0.15, 9500+(O24-110000)*0.25))</f>
        <v>0</v>
      </c>
      <c r="S24" s="2">
        <f>P24+Q24+R24</f>
        <v>0</v>
      </c>
      <c r="T24" s="2">
        <f>O24-S24</f>
        <v>0</v>
      </c>
    </row>
    <row r="25" spans="1:20">
      <c r="A25" t="s">
        <v>43</v>
      </c>
      <c r="B25" t="s">
        <v>143</v>
      </c>
      <c r="C25" t="s">
        <v>221</v>
      </c>
      <c r="D25" t="s">
        <v>227</v>
      </c>
      <c r="E25" t="s">
        <v>253</v>
      </c>
      <c r="F25" t="s">
        <v>326</v>
      </c>
      <c r="G25">
        <v>80643</v>
      </c>
      <c r="H25">
        <v>1.4</v>
      </c>
      <c r="I25" s="2">
        <f>G25*(H25/5)*0.1</f>
        <v>0</v>
      </c>
      <c r="J25">
        <v>4</v>
      </c>
      <c r="K25">
        <v>46</v>
      </c>
      <c r="L25" s="2">
        <f>J25*K25</f>
        <v>0</v>
      </c>
      <c r="M25">
        <v>2000</v>
      </c>
      <c r="N25">
        <v>500</v>
      </c>
      <c r="O25" s="2">
        <f>G25+I25+L25+M25+N25</f>
        <v>0</v>
      </c>
      <c r="P25" s="2">
        <f>G25*0.12</f>
        <v>0</v>
      </c>
      <c r="Q25" s="2">
        <f>IF(D25="Director", 1000, 500)</f>
        <v>0</v>
      </c>
      <c r="R25" s="2">
        <f>IF(O25&lt;70000, O25*0.05, IF(O25&lt;110000, 3500+(O25-70000)*0.15, 9500+(O25-110000)*0.25))</f>
        <v>0</v>
      </c>
      <c r="S25" s="2">
        <f>P25+Q25+R25</f>
        <v>0</v>
      </c>
      <c r="T25" s="2">
        <f>O25-S25</f>
        <v>0</v>
      </c>
    </row>
    <row r="26" spans="1:20">
      <c r="A26" t="s">
        <v>44</v>
      </c>
      <c r="B26" t="s">
        <v>144</v>
      </c>
      <c r="C26" t="s">
        <v>220</v>
      </c>
      <c r="D26" t="s">
        <v>230</v>
      </c>
      <c r="E26" t="s">
        <v>254</v>
      </c>
      <c r="F26" t="s">
        <v>327</v>
      </c>
      <c r="G26">
        <v>74899</v>
      </c>
      <c r="H26">
        <v>2.5</v>
      </c>
      <c r="I26" s="2">
        <f>G26*(H26/5)*0.1</f>
        <v>0</v>
      </c>
      <c r="J26">
        <v>5</v>
      </c>
      <c r="K26">
        <v>64</v>
      </c>
      <c r="L26" s="2">
        <f>J26*K26</f>
        <v>0</v>
      </c>
      <c r="M26">
        <v>2000</v>
      </c>
      <c r="N26">
        <v>500</v>
      </c>
      <c r="O26" s="2">
        <f>G26+I26+L26+M26+N26</f>
        <v>0</v>
      </c>
      <c r="P26" s="2">
        <f>G26*0.12</f>
        <v>0</v>
      </c>
      <c r="Q26" s="2">
        <f>IF(D26="Director", 1000, 500)</f>
        <v>0</v>
      </c>
      <c r="R26" s="2">
        <f>IF(O26&lt;70000, O26*0.05, IF(O26&lt;110000, 3500+(O26-70000)*0.15, 9500+(O26-110000)*0.25))</f>
        <v>0</v>
      </c>
      <c r="S26" s="2">
        <f>P26+Q26+R26</f>
        <v>0</v>
      </c>
      <c r="T26" s="2">
        <f>O26-S26</f>
        <v>0</v>
      </c>
    </row>
    <row r="27" spans="1:20">
      <c r="A27" t="s">
        <v>45</v>
      </c>
      <c r="B27" t="s">
        <v>145</v>
      </c>
      <c r="C27" t="s">
        <v>221</v>
      </c>
      <c r="D27" t="s">
        <v>229</v>
      </c>
      <c r="E27" t="s">
        <v>255</v>
      </c>
      <c r="F27" t="s">
        <v>326</v>
      </c>
      <c r="G27">
        <v>82350</v>
      </c>
      <c r="H27">
        <v>2.8</v>
      </c>
      <c r="I27" s="2">
        <f>G27*(H27/5)*0.1</f>
        <v>0</v>
      </c>
      <c r="J27">
        <v>9</v>
      </c>
      <c r="K27">
        <v>45</v>
      </c>
      <c r="L27" s="2">
        <f>J27*K27</f>
        <v>0</v>
      </c>
      <c r="M27">
        <v>2000</v>
      </c>
      <c r="N27">
        <v>500</v>
      </c>
      <c r="O27" s="2">
        <f>G27+I27+L27+M27+N27</f>
        <v>0</v>
      </c>
      <c r="P27" s="2">
        <f>G27*0.12</f>
        <v>0</v>
      </c>
      <c r="Q27" s="2">
        <f>IF(D27="Director", 1000, 500)</f>
        <v>0</v>
      </c>
      <c r="R27" s="2">
        <f>IF(O27&lt;70000, O27*0.05, IF(O27&lt;110000, 3500+(O27-70000)*0.15, 9500+(O27-110000)*0.25))</f>
        <v>0</v>
      </c>
      <c r="S27" s="2">
        <f>P27+Q27+R27</f>
        <v>0</v>
      </c>
      <c r="T27" s="2">
        <f>O27-S27</f>
        <v>0</v>
      </c>
    </row>
    <row r="28" spans="1:20">
      <c r="A28" t="s">
        <v>46</v>
      </c>
      <c r="B28" t="s">
        <v>146</v>
      </c>
      <c r="C28" t="s">
        <v>220</v>
      </c>
      <c r="D28" t="s">
        <v>228</v>
      </c>
      <c r="E28" t="s">
        <v>256</v>
      </c>
      <c r="F28" t="s">
        <v>325</v>
      </c>
      <c r="G28">
        <v>58065</v>
      </c>
      <c r="H28">
        <v>1.6</v>
      </c>
      <c r="I28" s="2">
        <f>G28*(H28/5)*0.1</f>
        <v>0</v>
      </c>
      <c r="J28">
        <v>8</v>
      </c>
      <c r="K28">
        <v>30</v>
      </c>
      <c r="L28" s="2">
        <f>J28*K28</f>
        <v>0</v>
      </c>
      <c r="M28">
        <v>2000</v>
      </c>
      <c r="N28">
        <v>500</v>
      </c>
      <c r="O28" s="2">
        <f>G28+I28+L28+M28+N28</f>
        <v>0</v>
      </c>
      <c r="P28" s="2">
        <f>G28*0.12</f>
        <v>0</v>
      </c>
      <c r="Q28" s="2">
        <f>IF(D28="Director", 1000, 500)</f>
        <v>0</v>
      </c>
      <c r="R28" s="2">
        <f>IF(O28&lt;70000, O28*0.05, IF(O28&lt;110000, 3500+(O28-70000)*0.15, 9500+(O28-110000)*0.25))</f>
        <v>0</v>
      </c>
      <c r="S28" s="2">
        <f>P28+Q28+R28</f>
        <v>0</v>
      </c>
      <c r="T28" s="2">
        <f>O28-S28</f>
        <v>0</v>
      </c>
    </row>
    <row r="29" spans="1:20">
      <c r="A29" t="s">
        <v>47</v>
      </c>
      <c r="B29" t="s">
        <v>147</v>
      </c>
      <c r="C29" t="s">
        <v>220</v>
      </c>
      <c r="D29" t="s">
        <v>227</v>
      </c>
      <c r="E29" t="s">
        <v>257</v>
      </c>
      <c r="F29" t="s">
        <v>325</v>
      </c>
      <c r="G29">
        <v>118053</v>
      </c>
      <c r="H29">
        <v>3.5</v>
      </c>
      <c r="I29" s="2">
        <f>G29*(H29/5)*0.1</f>
        <v>0</v>
      </c>
      <c r="J29">
        <v>3</v>
      </c>
      <c r="K29">
        <v>34</v>
      </c>
      <c r="L29" s="2">
        <f>J29*K29</f>
        <v>0</v>
      </c>
      <c r="M29">
        <v>2000</v>
      </c>
      <c r="N29">
        <v>500</v>
      </c>
      <c r="O29" s="2">
        <f>G29+I29+L29+M29+N29</f>
        <v>0</v>
      </c>
      <c r="P29" s="2">
        <f>G29*0.12</f>
        <v>0</v>
      </c>
      <c r="Q29" s="2">
        <f>IF(D29="Director", 1000, 500)</f>
        <v>0</v>
      </c>
      <c r="R29" s="2">
        <f>IF(O29&lt;70000, O29*0.05, IF(O29&lt;110000, 3500+(O29-70000)*0.15, 9500+(O29-110000)*0.25))</f>
        <v>0</v>
      </c>
      <c r="S29" s="2">
        <f>P29+Q29+R29</f>
        <v>0</v>
      </c>
      <c r="T29" s="2">
        <f>O29-S29</f>
        <v>0</v>
      </c>
    </row>
    <row r="30" spans="1:20">
      <c r="A30" t="s">
        <v>48</v>
      </c>
      <c r="B30" t="s">
        <v>148</v>
      </c>
      <c r="C30" t="s">
        <v>223</v>
      </c>
      <c r="D30" t="s">
        <v>230</v>
      </c>
      <c r="E30" t="s">
        <v>258</v>
      </c>
      <c r="F30" t="s">
        <v>326</v>
      </c>
      <c r="G30">
        <v>84495</v>
      </c>
      <c r="H30">
        <v>4.7</v>
      </c>
      <c r="I30" s="2">
        <f>G30*(H30/5)*0.1</f>
        <v>0</v>
      </c>
      <c r="J30">
        <v>3</v>
      </c>
      <c r="K30">
        <v>68</v>
      </c>
      <c r="L30" s="2">
        <f>J30*K30</f>
        <v>0</v>
      </c>
      <c r="M30">
        <v>2000</v>
      </c>
      <c r="N30">
        <v>500</v>
      </c>
      <c r="O30" s="2">
        <f>G30+I30+L30+M30+N30</f>
        <v>0</v>
      </c>
      <c r="P30" s="2">
        <f>G30*0.12</f>
        <v>0</v>
      </c>
      <c r="Q30" s="2">
        <f>IF(D30="Director", 1000, 500)</f>
        <v>0</v>
      </c>
      <c r="R30" s="2">
        <f>IF(O30&lt;70000, O30*0.05, IF(O30&lt;110000, 3500+(O30-70000)*0.15, 9500+(O30-110000)*0.25))</f>
        <v>0</v>
      </c>
      <c r="S30" s="2">
        <f>P30+Q30+R30</f>
        <v>0</v>
      </c>
      <c r="T30" s="2">
        <f>O30-S30</f>
        <v>0</v>
      </c>
    </row>
    <row r="31" spans="1:20">
      <c r="A31" t="s">
        <v>49</v>
      </c>
      <c r="B31" t="s">
        <v>149</v>
      </c>
      <c r="C31" t="s">
        <v>224</v>
      </c>
      <c r="D31" t="s">
        <v>230</v>
      </c>
      <c r="E31" t="s">
        <v>259</v>
      </c>
      <c r="F31" t="s">
        <v>325</v>
      </c>
      <c r="G31">
        <v>61626</v>
      </c>
      <c r="H31">
        <v>3.4</v>
      </c>
      <c r="I31" s="2">
        <f>G31*(H31/5)*0.1</f>
        <v>0</v>
      </c>
      <c r="J31">
        <v>5</v>
      </c>
      <c r="K31">
        <v>71</v>
      </c>
      <c r="L31" s="2">
        <f>J31*K31</f>
        <v>0</v>
      </c>
      <c r="M31">
        <v>2000</v>
      </c>
      <c r="N31">
        <v>500</v>
      </c>
      <c r="O31" s="2">
        <f>G31+I31+L31+M31+N31</f>
        <v>0</v>
      </c>
      <c r="P31" s="2">
        <f>G31*0.12</f>
        <v>0</v>
      </c>
      <c r="Q31" s="2">
        <f>IF(D31="Director", 1000, 500)</f>
        <v>0</v>
      </c>
      <c r="R31" s="2">
        <f>IF(O31&lt;70000, O31*0.05, IF(O31&lt;110000, 3500+(O31-70000)*0.15, 9500+(O31-110000)*0.25))</f>
        <v>0</v>
      </c>
      <c r="S31" s="2">
        <f>P31+Q31+R31</f>
        <v>0</v>
      </c>
      <c r="T31" s="2">
        <f>O31-S31</f>
        <v>0</v>
      </c>
    </row>
    <row r="32" spans="1:20">
      <c r="A32" t="s">
        <v>50</v>
      </c>
      <c r="B32" t="s">
        <v>150</v>
      </c>
      <c r="C32" t="s">
        <v>221</v>
      </c>
      <c r="D32" t="s">
        <v>228</v>
      </c>
      <c r="E32" t="s">
        <v>260</v>
      </c>
      <c r="F32" t="s">
        <v>327</v>
      </c>
      <c r="G32">
        <v>63342</v>
      </c>
      <c r="H32">
        <v>1</v>
      </c>
      <c r="I32" s="2">
        <f>G32*(H32/5)*0.1</f>
        <v>0</v>
      </c>
      <c r="J32">
        <v>8</v>
      </c>
      <c r="K32">
        <v>78</v>
      </c>
      <c r="L32" s="2">
        <f>J32*K32</f>
        <v>0</v>
      </c>
      <c r="M32">
        <v>2000</v>
      </c>
      <c r="N32">
        <v>500</v>
      </c>
      <c r="O32" s="2">
        <f>G32+I32+L32+M32+N32</f>
        <v>0</v>
      </c>
      <c r="P32" s="2">
        <f>G32*0.12</f>
        <v>0</v>
      </c>
      <c r="Q32" s="2">
        <f>IF(D32="Director", 1000, 500)</f>
        <v>0</v>
      </c>
      <c r="R32" s="2">
        <f>IF(O32&lt;70000, O32*0.05, IF(O32&lt;110000, 3500+(O32-70000)*0.15, 9500+(O32-110000)*0.25))</f>
        <v>0</v>
      </c>
      <c r="S32" s="2">
        <f>P32+Q32+R32</f>
        <v>0</v>
      </c>
      <c r="T32" s="2">
        <f>O32-S32</f>
        <v>0</v>
      </c>
    </row>
    <row r="33" spans="1:20">
      <c r="A33" t="s">
        <v>51</v>
      </c>
      <c r="B33" t="s">
        <v>151</v>
      </c>
      <c r="C33" t="s">
        <v>222</v>
      </c>
      <c r="D33" t="s">
        <v>228</v>
      </c>
      <c r="E33" t="s">
        <v>257</v>
      </c>
      <c r="F33" t="s">
        <v>325</v>
      </c>
      <c r="G33">
        <v>97458</v>
      </c>
      <c r="H33">
        <v>3.2</v>
      </c>
      <c r="I33" s="2">
        <f>G33*(H33/5)*0.1</f>
        <v>0</v>
      </c>
      <c r="J33">
        <v>12</v>
      </c>
      <c r="K33">
        <v>34</v>
      </c>
      <c r="L33" s="2">
        <f>J33*K33</f>
        <v>0</v>
      </c>
      <c r="M33">
        <v>2000</v>
      </c>
      <c r="N33">
        <v>500</v>
      </c>
      <c r="O33" s="2">
        <f>G33+I33+L33+M33+N33</f>
        <v>0</v>
      </c>
      <c r="P33" s="2">
        <f>G33*0.12</f>
        <v>0</v>
      </c>
      <c r="Q33" s="2">
        <f>IF(D33="Director", 1000, 500)</f>
        <v>0</v>
      </c>
      <c r="R33" s="2">
        <f>IF(O33&lt;70000, O33*0.05, IF(O33&lt;110000, 3500+(O33-70000)*0.15, 9500+(O33-110000)*0.25))</f>
        <v>0</v>
      </c>
      <c r="S33" s="2">
        <f>P33+Q33+R33</f>
        <v>0</v>
      </c>
      <c r="T33" s="2">
        <f>O33-S33</f>
        <v>0</v>
      </c>
    </row>
    <row r="34" spans="1:20">
      <c r="A34" t="s">
        <v>52</v>
      </c>
      <c r="B34" t="s">
        <v>152</v>
      </c>
      <c r="C34" t="s">
        <v>223</v>
      </c>
      <c r="D34" t="s">
        <v>229</v>
      </c>
      <c r="E34" t="s">
        <v>261</v>
      </c>
      <c r="F34" t="s">
        <v>326</v>
      </c>
      <c r="G34">
        <v>63899</v>
      </c>
      <c r="H34">
        <v>1.3</v>
      </c>
      <c r="I34" s="2">
        <f>G34*(H34/5)*0.1</f>
        <v>0</v>
      </c>
      <c r="J34">
        <v>11</v>
      </c>
      <c r="K34">
        <v>32</v>
      </c>
      <c r="L34" s="2">
        <f>J34*K34</f>
        <v>0</v>
      </c>
      <c r="M34">
        <v>2000</v>
      </c>
      <c r="N34">
        <v>500</v>
      </c>
      <c r="O34" s="2">
        <f>G34+I34+L34+M34+N34</f>
        <v>0</v>
      </c>
      <c r="P34" s="2">
        <f>G34*0.12</f>
        <v>0</v>
      </c>
      <c r="Q34" s="2">
        <f>IF(D34="Director", 1000, 500)</f>
        <v>0</v>
      </c>
      <c r="R34" s="2">
        <f>IF(O34&lt;70000, O34*0.05, IF(O34&lt;110000, 3500+(O34-70000)*0.15, 9500+(O34-110000)*0.25))</f>
        <v>0</v>
      </c>
      <c r="S34" s="2">
        <f>P34+Q34+R34</f>
        <v>0</v>
      </c>
      <c r="T34" s="2">
        <f>O34-S34</f>
        <v>0</v>
      </c>
    </row>
    <row r="35" spans="1:20">
      <c r="A35" t="s">
        <v>53</v>
      </c>
      <c r="B35" t="s">
        <v>153</v>
      </c>
      <c r="C35" t="s">
        <v>221</v>
      </c>
      <c r="D35" t="s">
        <v>229</v>
      </c>
      <c r="E35" t="s">
        <v>262</v>
      </c>
      <c r="F35" t="s">
        <v>325</v>
      </c>
      <c r="G35">
        <v>97484</v>
      </c>
      <c r="H35">
        <v>1.5</v>
      </c>
      <c r="I35" s="2">
        <f>G35*(H35/5)*0.1</f>
        <v>0</v>
      </c>
      <c r="J35">
        <v>1</v>
      </c>
      <c r="K35">
        <v>59</v>
      </c>
      <c r="L35" s="2">
        <f>J35*K35</f>
        <v>0</v>
      </c>
      <c r="M35">
        <v>2000</v>
      </c>
      <c r="N35">
        <v>500</v>
      </c>
      <c r="O35" s="2">
        <f>G35+I35+L35+M35+N35</f>
        <v>0</v>
      </c>
      <c r="P35" s="2">
        <f>G35*0.12</f>
        <v>0</v>
      </c>
      <c r="Q35" s="2">
        <f>IF(D35="Director", 1000, 500)</f>
        <v>0</v>
      </c>
      <c r="R35" s="2">
        <f>IF(O35&lt;70000, O35*0.05, IF(O35&lt;110000, 3500+(O35-70000)*0.15, 9500+(O35-110000)*0.25))</f>
        <v>0</v>
      </c>
      <c r="S35" s="2">
        <f>P35+Q35+R35</f>
        <v>0</v>
      </c>
      <c r="T35" s="2">
        <f>O35-S35</f>
        <v>0</v>
      </c>
    </row>
    <row r="36" spans="1:20">
      <c r="A36" t="s">
        <v>54</v>
      </c>
      <c r="B36" t="s">
        <v>154</v>
      </c>
      <c r="C36" t="s">
        <v>221</v>
      </c>
      <c r="D36" t="s">
        <v>228</v>
      </c>
      <c r="E36" t="s">
        <v>263</v>
      </c>
      <c r="F36" t="s">
        <v>325</v>
      </c>
      <c r="G36">
        <v>110394</v>
      </c>
      <c r="H36">
        <v>3.4</v>
      </c>
      <c r="I36" s="2">
        <f>G36*(H36/5)*0.1</f>
        <v>0</v>
      </c>
      <c r="J36">
        <v>10</v>
      </c>
      <c r="K36">
        <v>65</v>
      </c>
      <c r="L36" s="2">
        <f>J36*K36</f>
        <v>0</v>
      </c>
      <c r="M36">
        <v>2000</v>
      </c>
      <c r="N36">
        <v>500</v>
      </c>
      <c r="O36" s="2">
        <f>G36+I36+L36+M36+N36</f>
        <v>0</v>
      </c>
      <c r="P36" s="2">
        <f>G36*0.12</f>
        <v>0</v>
      </c>
      <c r="Q36" s="2">
        <f>IF(D36="Director", 1000, 500)</f>
        <v>0</v>
      </c>
      <c r="R36" s="2">
        <f>IF(O36&lt;70000, O36*0.05, IF(O36&lt;110000, 3500+(O36-70000)*0.15, 9500+(O36-110000)*0.25))</f>
        <v>0</v>
      </c>
      <c r="S36" s="2">
        <f>P36+Q36+R36</f>
        <v>0</v>
      </c>
      <c r="T36" s="2">
        <f>O36-S36</f>
        <v>0</v>
      </c>
    </row>
    <row r="37" spans="1:20">
      <c r="A37" t="s">
        <v>55</v>
      </c>
      <c r="B37" t="s">
        <v>155</v>
      </c>
      <c r="C37" t="s">
        <v>223</v>
      </c>
      <c r="D37" t="s">
        <v>229</v>
      </c>
      <c r="E37" t="s">
        <v>264</v>
      </c>
      <c r="F37" t="s">
        <v>326</v>
      </c>
      <c r="G37">
        <v>105351</v>
      </c>
      <c r="H37">
        <v>2.5</v>
      </c>
      <c r="I37" s="2">
        <f>G37*(H37/5)*0.1</f>
        <v>0</v>
      </c>
      <c r="J37">
        <v>11</v>
      </c>
      <c r="K37">
        <v>55</v>
      </c>
      <c r="L37" s="2">
        <f>J37*K37</f>
        <v>0</v>
      </c>
      <c r="M37">
        <v>2000</v>
      </c>
      <c r="N37">
        <v>500</v>
      </c>
      <c r="O37" s="2">
        <f>G37+I37+L37+M37+N37</f>
        <v>0</v>
      </c>
      <c r="P37" s="2">
        <f>G37*0.12</f>
        <v>0</v>
      </c>
      <c r="Q37" s="2">
        <f>IF(D37="Director", 1000, 500)</f>
        <v>0</v>
      </c>
      <c r="R37" s="2">
        <f>IF(O37&lt;70000, O37*0.05, IF(O37&lt;110000, 3500+(O37-70000)*0.15, 9500+(O37-110000)*0.25))</f>
        <v>0</v>
      </c>
      <c r="S37" s="2">
        <f>P37+Q37+R37</f>
        <v>0</v>
      </c>
      <c r="T37" s="2">
        <f>O37-S37</f>
        <v>0</v>
      </c>
    </row>
    <row r="38" spans="1:20">
      <c r="A38" t="s">
        <v>56</v>
      </c>
      <c r="B38" t="s">
        <v>156</v>
      </c>
      <c r="C38" t="s">
        <v>223</v>
      </c>
      <c r="D38" t="s">
        <v>226</v>
      </c>
      <c r="E38" t="s">
        <v>265</v>
      </c>
      <c r="F38" t="s">
        <v>327</v>
      </c>
      <c r="G38">
        <v>112962</v>
      </c>
      <c r="H38">
        <v>2.7</v>
      </c>
      <c r="I38" s="2">
        <f>G38*(H38/5)*0.1</f>
        <v>0</v>
      </c>
      <c r="J38">
        <v>0</v>
      </c>
      <c r="K38">
        <v>67</v>
      </c>
      <c r="L38" s="2">
        <f>J38*K38</f>
        <v>0</v>
      </c>
      <c r="M38">
        <v>2000</v>
      </c>
      <c r="N38">
        <v>500</v>
      </c>
      <c r="O38" s="2">
        <f>G38+I38+L38+M38+N38</f>
        <v>0</v>
      </c>
      <c r="P38" s="2">
        <f>G38*0.12</f>
        <v>0</v>
      </c>
      <c r="Q38" s="2">
        <f>IF(D38="Director", 1000, 500)</f>
        <v>0</v>
      </c>
      <c r="R38" s="2">
        <f>IF(O38&lt;70000, O38*0.05, IF(O38&lt;110000, 3500+(O38-70000)*0.15, 9500+(O38-110000)*0.25))</f>
        <v>0</v>
      </c>
      <c r="S38" s="2">
        <f>P38+Q38+R38</f>
        <v>0</v>
      </c>
      <c r="T38" s="2">
        <f>O38-S38</f>
        <v>0</v>
      </c>
    </row>
    <row r="39" spans="1:20">
      <c r="A39" t="s">
        <v>57</v>
      </c>
      <c r="B39" t="s">
        <v>157</v>
      </c>
      <c r="C39" t="s">
        <v>222</v>
      </c>
      <c r="D39" t="s">
        <v>229</v>
      </c>
      <c r="E39" t="s">
        <v>266</v>
      </c>
      <c r="F39" t="s">
        <v>327</v>
      </c>
      <c r="G39">
        <v>139902</v>
      </c>
      <c r="H39">
        <v>3.1</v>
      </c>
      <c r="I39" s="2">
        <f>G39*(H39/5)*0.1</f>
        <v>0</v>
      </c>
      <c r="J39">
        <v>18</v>
      </c>
      <c r="K39">
        <v>48</v>
      </c>
      <c r="L39" s="2">
        <f>J39*K39</f>
        <v>0</v>
      </c>
      <c r="M39">
        <v>2000</v>
      </c>
      <c r="N39">
        <v>500</v>
      </c>
      <c r="O39" s="2">
        <f>G39+I39+L39+M39+N39</f>
        <v>0</v>
      </c>
      <c r="P39" s="2">
        <f>G39*0.12</f>
        <v>0</v>
      </c>
      <c r="Q39" s="2">
        <f>IF(D39="Director", 1000, 500)</f>
        <v>0</v>
      </c>
      <c r="R39" s="2">
        <f>IF(O39&lt;70000, O39*0.05, IF(O39&lt;110000, 3500+(O39-70000)*0.15, 9500+(O39-110000)*0.25))</f>
        <v>0</v>
      </c>
      <c r="S39" s="2">
        <f>P39+Q39+R39</f>
        <v>0</v>
      </c>
      <c r="T39" s="2">
        <f>O39-S39</f>
        <v>0</v>
      </c>
    </row>
    <row r="40" spans="1:20">
      <c r="A40" t="s">
        <v>58</v>
      </c>
      <c r="B40" t="s">
        <v>158</v>
      </c>
      <c r="C40" t="s">
        <v>220</v>
      </c>
      <c r="D40" t="s">
        <v>230</v>
      </c>
      <c r="E40" t="s">
        <v>267</v>
      </c>
      <c r="F40" t="s">
        <v>327</v>
      </c>
      <c r="G40">
        <v>109806</v>
      </c>
      <c r="H40">
        <v>4.8</v>
      </c>
      <c r="I40" s="2">
        <f>G40*(H40/5)*0.1</f>
        <v>0</v>
      </c>
      <c r="J40">
        <v>1</v>
      </c>
      <c r="K40">
        <v>65</v>
      </c>
      <c r="L40" s="2">
        <f>J40*K40</f>
        <v>0</v>
      </c>
      <c r="M40">
        <v>2000</v>
      </c>
      <c r="N40">
        <v>500</v>
      </c>
      <c r="O40" s="2">
        <f>G40+I40+L40+M40+N40</f>
        <v>0</v>
      </c>
      <c r="P40" s="2">
        <f>G40*0.12</f>
        <v>0</v>
      </c>
      <c r="Q40" s="2">
        <f>IF(D40="Director", 1000, 500)</f>
        <v>0</v>
      </c>
      <c r="R40" s="2">
        <f>IF(O40&lt;70000, O40*0.05, IF(O40&lt;110000, 3500+(O40-70000)*0.15, 9500+(O40-110000)*0.25))</f>
        <v>0</v>
      </c>
      <c r="S40" s="2">
        <f>P40+Q40+R40</f>
        <v>0</v>
      </c>
      <c r="T40" s="2">
        <f>O40-S40</f>
        <v>0</v>
      </c>
    </row>
    <row r="41" spans="1:20">
      <c r="A41" t="s">
        <v>59</v>
      </c>
      <c r="B41" t="s">
        <v>159</v>
      </c>
      <c r="C41" t="s">
        <v>220</v>
      </c>
      <c r="D41" t="s">
        <v>227</v>
      </c>
      <c r="E41" t="s">
        <v>268</v>
      </c>
      <c r="F41" t="s">
        <v>327</v>
      </c>
      <c r="G41">
        <v>74705</v>
      </c>
      <c r="H41">
        <v>1</v>
      </c>
      <c r="I41" s="2">
        <f>G41*(H41/5)*0.1</f>
        <v>0</v>
      </c>
      <c r="J41">
        <v>10</v>
      </c>
      <c r="K41">
        <v>43</v>
      </c>
      <c r="L41" s="2">
        <f>J41*K41</f>
        <v>0</v>
      </c>
      <c r="M41">
        <v>2000</v>
      </c>
      <c r="N41">
        <v>500</v>
      </c>
      <c r="O41" s="2">
        <f>G41+I41+L41+M41+N41</f>
        <v>0</v>
      </c>
      <c r="P41" s="2">
        <f>G41*0.12</f>
        <v>0</v>
      </c>
      <c r="Q41" s="2">
        <f>IF(D41="Director", 1000, 500)</f>
        <v>0</v>
      </c>
      <c r="R41" s="2">
        <f>IF(O41&lt;70000, O41*0.05, IF(O41&lt;110000, 3500+(O41-70000)*0.15, 9500+(O41-110000)*0.25))</f>
        <v>0</v>
      </c>
      <c r="S41" s="2">
        <f>P41+Q41+R41</f>
        <v>0</v>
      </c>
      <c r="T41" s="2">
        <f>O41-S41</f>
        <v>0</v>
      </c>
    </row>
    <row r="42" spans="1:20">
      <c r="A42" t="s">
        <v>60</v>
      </c>
      <c r="B42" t="s">
        <v>160</v>
      </c>
      <c r="C42" t="s">
        <v>224</v>
      </c>
      <c r="D42" t="s">
        <v>230</v>
      </c>
      <c r="E42" t="s">
        <v>254</v>
      </c>
      <c r="F42" t="s">
        <v>327</v>
      </c>
      <c r="G42">
        <v>124822</v>
      </c>
      <c r="H42">
        <v>4.6</v>
      </c>
      <c r="I42" s="2">
        <f>G42*(H42/5)*0.1</f>
        <v>0</v>
      </c>
      <c r="J42">
        <v>8</v>
      </c>
      <c r="K42">
        <v>68</v>
      </c>
      <c r="L42" s="2">
        <f>J42*K42</f>
        <v>0</v>
      </c>
      <c r="M42">
        <v>2000</v>
      </c>
      <c r="N42">
        <v>500</v>
      </c>
      <c r="O42" s="2">
        <f>G42+I42+L42+M42+N42</f>
        <v>0</v>
      </c>
      <c r="P42" s="2">
        <f>G42*0.12</f>
        <v>0</v>
      </c>
      <c r="Q42" s="2">
        <f>IF(D42="Director", 1000, 500)</f>
        <v>0</v>
      </c>
      <c r="R42" s="2">
        <f>IF(O42&lt;70000, O42*0.05, IF(O42&lt;110000, 3500+(O42-70000)*0.15, 9500+(O42-110000)*0.25))</f>
        <v>0</v>
      </c>
      <c r="S42" s="2">
        <f>P42+Q42+R42</f>
        <v>0</v>
      </c>
      <c r="T42" s="2">
        <f>O42-S42</f>
        <v>0</v>
      </c>
    </row>
    <row r="43" spans="1:20">
      <c r="A43" t="s">
        <v>61</v>
      </c>
      <c r="B43" t="s">
        <v>161</v>
      </c>
      <c r="C43" t="s">
        <v>225</v>
      </c>
      <c r="D43" t="s">
        <v>230</v>
      </c>
      <c r="E43" t="s">
        <v>269</v>
      </c>
      <c r="F43" t="s">
        <v>327</v>
      </c>
      <c r="G43">
        <v>68493</v>
      </c>
      <c r="H43">
        <v>4.3</v>
      </c>
      <c r="I43" s="2">
        <f>G43*(H43/5)*0.1</f>
        <v>0</v>
      </c>
      <c r="J43">
        <v>11</v>
      </c>
      <c r="K43">
        <v>55</v>
      </c>
      <c r="L43" s="2">
        <f>J43*K43</f>
        <v>0</v>
      </c>
      <c r="M43">
        <v>2000</v>
      </c>
      <c r="N43">
        <v>500</v>
      </c>
      <c r="O43" s="2">
        <f>G43+I43+L43+M43+N43</f>
        <v>0</v>
      </c>
      <c r="P43" s="2">
        <f>G43*0.12</f>
        <v>0</v>
      </c>
      <c r="Q43" s="2">
        <f>IF(D43="Director", 1000, 500)</f>
        <v>0</v>
      </c>
      <c r="R43" s="2">
        <f>IF(O43&lt;70000, O43*0.05, IF(O43&lt;110000, 3500+(O43-70000)*0.15, 9500+(O43-110000)*0.25))</f>
        <v>0</v>
      </c>
      <c r="S43" s="2">
        <f>P43+Q43+R43</f>
        <v>0</v>
      </c>
      <c r="T43" s="2">
        <f>O43-S43</f>
        <v>0</v>
      </c>
    </row>
    <row r="44" spans="1:20">
      <c r="A44" t="s">
        <v>62</v>
      </c>
      <c r="B44" t="s">
        <v>162</v>
      </c>
      <c r="C44" t="s">
        <v>223</v>
      </c>
      <c r="D44" t="s">
        <v>227</v>
      </c>
      <c r="E44" t="s">
        <v>270</v>
      </c>
      <c r="F44" t="s">
        <v>326</v>
      </c>
      <c r="G44">
        <v>56909</v>
      </c>
      <c r="H44">
        <v>4.9</v>
      </c>
      <c r="I44" s="2">
        <f>G44*(H44/5)*0.1</f>
        <v>0</v>
      </c>
      <c r="J44">
        <v>1</v>
      </c>
      <c r="K44">
        <v>75</v>
      </c>
      <c r="L44" s="2">
        <f>J44*K44</f>
        <v>0</v>
      </c>
      <c r="M44">
        <v>2000</v>
      </c>
      <c r="N44">
        <v>500</v>
      </c>
      <c r="O44" s="2">
        <f>G44+I44+L44+M44+N44</f>
        <v>0</v>
      </c>
      <c r="P44" s="2">
        <f>G44*0.12</f>
        <v>0</v>
      </c>
      <c r="Q44" s="2">
        <f>IF(D44="Director", 1000, 500)</f>
        <v>0</v>
      </c>
      <c r="R44" s="2">
        <f>IF(O44&lt;70000, O44*0.05, IF(O44&lt;110000, 3500+(O44-70000)*0.15, 9500+(O44-110000)*0.25))</f>
        <v>0</v>
      </c>
      <c r="S44" s="2">
        <f>P44+Q44+R44</f>
        <v>0</v>
      </c>
      <c r="T44" s="2">
        <f>O44-S44</f>
        <v>0</v>
      </c>
    </row>
    <row r="45" spans="1:20">
      <c r="A45" t="s">
        <v>63</v>
      </c>
      <c r="B45" t="s">
        <v>163</v>
      </c>
      <c r="C45" t="s">
        <v>220</v>
      </c>
      <c r="D45" t="s">
        <v>228</v>
      </c>
      <c r="E45" t="s">
        <v>271</v>
      </c>
      <c r="F45" t="s">
        <v>327</v>
      </c>
      <c r="G45">
        <v>82996</v>
      </c>
      <c r="H45">
        <v>3.2</v>
      </c>
      <c r="I45" s="2">
        <f>G45*(H45/5)*0.1</f>
        <v>0</v>
      </c>
      <c r="J45">
        <v>12</v>
      </c>
      <c r="K45">
        <v>30</v>
      </c>
      <c r="L45" s="2">
        <f>J45*K45</f>
        <v>0</v>
      </c>
      <c r="M45">
        <v>2000</v>
      </c>
      <c r="N45">
        <v>500</v>
      </c>
      <c r="O45" s="2">
        <f>G45+I45+L45+M45+N45</f>
        <v>0</v>
      </c>
      <c r="P45" s="2">
        <f>G45*0.12</f>
        <v>0</v>
      </c>
      <c r="Q45" s="2">
        <f>IF(D45="Director", 1000, 500)</f>
        <v>0</v>
      </c>
      <c r="R45" s="2">
        <f>IF(O45&lt;70000, O45*0.05, IF(O45&lt;110000, 3500+(O45-70000)*0.15, 9500+(O45-110000)*0.25))</f>
        <v>0</v>
      </c>
      <c r="S45" s="2">
        <f>P45+Q45+R45</f>
        <v>0</v>
      </c>
      <c r="T45" s="2">
        <f>O45-S45</f>
        <v>0</v>
      </c>
    </row>
    <row r="46" spans="1:20">
      <c r="A46" t="s">
        <v>64</v>
      </c>
      <c r="B46" t="s">
        <v>164</v>
      </c>
      <c r="C46" t="s">
        <v>223</v>
      </c>
      <c r="D46" t="s">
        <v>228</v>
      </c>
      <c r="E46" t="s">
        <v>272</v>
      </c>
      <c r="F46" t="s">
        <v>326</v>
      </c>
      <c r="G46">
        <v>124832</v>
      </c>
      <c r="H46">
        <v>4.1</v>
      </c>
      <c r="I46" s="2">
        <f>G46*(H46/5)*0.1</f>
        <v>0</v>
      </c>
      <c r="J46">
        <v>5</v>
      </c>
      <c r="K46">
        <v>49</v>
      </c>
      <c r="L46" s="2">
        <f>J46*K46</f>
        <v>0</v>
      </c>
      <c r="M46">
        <v>2000</v>
      </c>
      <c r="N46">
        <v>500</v>
      </c>
      <c r="O46" s="2">
        <f>G46+I46+L46+M46+N46</f>
        <v>0</v>
      </c>
      <c r="P46" s="2">
        <f>G46*0.12</f>
        <v>0</v>
      </c>
      <c r="Q46" s="2">
        <f>IF(D46="Director", 1000, 500)</f>
        <v>0</v>
      </c>
      <c r="R46" s="2">
        <f>IF(O46&lt;70000, O46*0.05, IF(O46&lt;110000, 3500+(O46-70000)*0.15, 9500+(O46-110000)*0.25))</f>
        <v>0</v>
      </c>
      <c r="S46" s="2">
        <f>P46+Q46+R46</f>
        <v>0</v>
      </c>
      <c r="T46" s="2">
        <f>O46-S46</f>
        <v>0</v>
      </c>
    </row>
    <row r="47" spans="1:20">
      <c r="A47" t="s">
        <v>65</v>
      </c>
      <c r="B47" t="s">
        <v>165</v>
      </c>
      <c r="C47" t="s">
        <v>224</v>
      </c>
      <c r="D47" t="s">
        <v>230</v>
      </c>
      <c r="E47" t="s">
        <v>273</v>
      </c>
      <c r="F47" t="s">
        <v>326</v>
      </c>
      <c r="G47">
        <v>85100</v>
      </c>
      <c r="H47">
        <v>2.7</v>
      </c>
      <c r="I47" s="2">
        <f>G47*(H47/5)*0.1</f>
        <v>0</v>
      </c>
      <c r="J47">
        <v>9</v>
      </c>
      <c r="K47">
        <v>54</v>
      </c>
      <c r="L47" s="2">
        <f>J47*K47</f>
        <v>0</v>
      </c>
      <c r="M47">
        <v>2000</v>
      </c>
      <c r="N47">
        <v>500</v>
      </c>
      <c r="O47" s="2">
        <f>G47+I47+L47+M47+N47</f>
        <v>0</v>
      </c>
      <c r="P47" s="2">
        <f>G47*0.12</f>
        <v>0</v>
      </c>
      <c r="Q47" s="2">
        <f>IF(D47="Director", 1000, 500)</f>
        <v>0</v>
      </c>
      <c r="R47" s="2">
        <f>IF(O47&lt;70000, O47*0.05, IF(O47&lt;110000, 3500+(O47-70000)*0.15, 9500+(O47-110000)*0.25))</f>
        <v>0</v>
      </c>
      <c r="S47" s="2">
        <f>P47+Q47+R47</f>
        <v>0</v>
      </c>
      <c r="T47" s="2">
        <f>O47-S47</f>
        <v>0</v>
      </c>
    </row>
    <row r="48" spans="1:20">
      <c r="A48" t="s">
        <v>66</v>
      </c>
      <c r="B48" t="s">
        <v>166</v>
      </c>
      <c r="C48" t="s">
        <v>224</v>
      </c>
      <c r="D48" t="s">
        <v>228</v>
      </c>
      <c r="E48" t="s">
        <v>274</v>
      </c>
      <c r="F48" t="s">
        <v>326</v>
      </c>
      <c r="G48">
        <v>107865</v>
      </c>
      <c r="H48">
        <v>1.5</v>
      </c>
      <c r="I48" s="2">
        <f>G48*(H48/5)*0.1</f>
        <v>0</v>
      </c>
      <c r="J48">
        <v>15</v>
      </c>
      <c r="K48">
        <v>61</v>
      </c>
      <c r="L48" s="2">
        <f>J48*K48</f>
        <v>0</v>
      </c>
      <c r="M48">
        <v>2000</v>
      </c>
      <c r="N48">
        <v>500</v>
      </c>
      <c r="O48" s="2">
        <f>G48+I48+L48+M48+N48</f>
        <v>0</v>
      </c>
      <c r="P48" s="2">
        <f>G48*0.12</f>
        <v>0</v>
      </c>
      <c r="Q48" s="2">
        <f>IF(D48="Director", 1000, 500)</f>
        <v>0</v>
      </c>
      <c r="R48" s="2">
        <f>IF(O48&lt;70000, O48*0.05, IF(O48&lt;110000, 3500+(O48-70000)*0.15, 9500+(O48-110000)*0.25))</f>
        <v>0</v>
      </c>
      <c r="S48" s="2">
        <f>P48+Q48+R48</f>
        <v>0</v>
      </c>
      <c r="T48" s="2">
        <f>O48-S48</f>
        <v>0</v>
      </c>
    </row>
    <row r="49" spans="1:20">
      <c r="A49" t="s">
        <v>67</v>
      </c>
      <c r="B49" t="s">
        <v>167</v>
      </c>
      <c r="C49" t="s">
        <v>220</v>
      </c>
      <c r="D49" t="s">
        <v>228</v>
      </c>
      <c r="E49" t="s">
        <v>275</v>
      </c>
      <c r="F49" t="s">
        <v>325</v>
      </c>
      <c r="G49">
        <v>108737</v>
      </c>
      <c r="H49">
        <v>3.1</v>
      </c>
      <c r="I49" s="2">
        <f>G49*(H49/5)*0.1</f>
        <v>0</v>
      </c>
      <c r="J49">
        <v>7</v>
      </c>
      <c r="K49">
        <v>75</v>
      </c>
      <c r="L49" s="2">
        <f>J49*K49</f>
        <v>0</v>
      </c>
      <c r="M49">
        <v>2000</v>
      </c>
      <c r="N49">
        <v>500</v>
      </c>
      <c r="O49" s="2">
        <f>G49+I49+L49+M49+N49</f>
        <v>0</v>
      </c>
      <c r="P49" s="2">
        <f>G49*0.12</f>
        <v>0</v>
      </c>
      <c r="Q49" s="2">
        <f>IF(D49="Director", 1000, 500)</f>
        <v>0</v>
      </c>
      <c r="R49" s="2">
        <f>IF(O49&lt;70000, O49*0.05, IF(O49&lt;110000, 3500+(O49-70000)*0.15, 9500+(O49-110000)*0.25))</f>
        <v>0</v>
      </c>
      <c r="S49" s="2">
        <f>P49+Q49+R49</f>
        <v>0</v>
      </c>
      <c r="T49" s="2">
        <f>O49-S49</f>
        <v>0</v>
      </c>
    </row>
    <row r="50" spans="1:20">
      <c r="A50" t="s">
        <v>68</v>
      </c>
      <c r="B50" t="s">
        <v>168</v>
      </c>
      <c r="C50" t="s">
        <v>220</v>
      </c>
      <c r="D50" t="s">
        <v>226</v>
      </c>
      <c r="E50" t="s">
        <v>276</v>
      </c>
      <c r="F50" t="s">
        <v>325</v>
      </c>
      <c r="G50">
        <v>134555</v>
      </c>
      <c r="H50">
        <v>1.5</v>
      </c>
      <c r="I50" s="2">
        <f>G50*(H50/5)*0.1</f>
        <v>0</v>
      </c>
      <c r="J50">
        <v>8</v>
      </c>
      <c r="K50">
        <v>40</v>
      </c>
      <c r="L50" s="2">
        <f>J50*K50</f>
        <v>0</v>
      </c>
      <c r="M50">
        <v>2000</v>
      </c>
      <c r="N50">
        <v>500</v>
      </c>
      <c r="O50" s="2">
        <f>G50+I50+L50+M50+N50</f>
        <v>0</v>
      </c>
      <c r="P50" s="2">
        <f>G50*0.12</f>
        <v>0</v>
      </c>
      <c r="Q50" s="2">
        <f>IF(D50="Director", 1000, 500)</f>
        <v>0</v>
      </c>
      <c r="R50" s="2">
        <f>IF(O50&lt;70000, O50*0.05, IF(O50&lt;110000, 3500+(O50-70000)*0.15, 9500+(O50-110000)*0.25))</f>
        <v>0</v>
      </c>
      <c r="S50" s="2">
        <f>P50+Q50+R50</f>
        <v>0</v>
      </c>
      <c r="T50" s="2">
        <f>O50-S50</f>
        <v>0</v>
      </c>
    </row>
    <row r="51" spans="1:20">
      <c r="A51" t="s">
        <v>69</v>
      </c>
      <c r="B51" t="s">
        <v>169</v>
      </c>
      <c r="C51" t="s">
        <v>221</v>
      </c>
      <c r="D51" t="s">
        <v>230</v>
      </c>
      <c r="E51" t="s">
        <v>277</v>
      </c>
      <c r="F51" t="s">
        <v>327</v>
      </c>
      <c r="G51">
        <v>149151</v>
      </c>
      <c r="H51">
        <v>2.7</v>
      </c>
      <c r="I51" s="2">
        <f>G51*(H51/5)*0.1</f>
        <v>0</v>
      </c>
      <c r="J51">
        <v>0</v>
      </c>
      <c r="K51">
        <v>59</v>
      </c>
      <c r="L51" s="2">
        <f>J51*K51</f>
        <v>0</v>
      </c>
      <c r="M51">
        <v>2000</v>
      </c>
      <c r="N51">
        <v>500</v>
      </c>
      <c r="O51" s="2">
        <f>G51+I51+L51+M51+N51</f>
        <v>0</v>
      </c>
      <c r="P51" s="2">
        <f>G51*0.12</f>
        <v>0</v>
      </c>
      <c r="Q51" s="2">
        <f>IF(D51="Director", 1000, 500)</f>
        <v>0</v>
      </c>
      <c r="R51" s="2">
        <f>IF(O51&lt;70000, O51*0.05, IF(O51&lt;110000, 3500+(O51-70000)*0.15, 9500+(O51-110000)*0.25))</f>
        <v>0</v>
      </c>
      <c r="S51" s="2">
        <f>P51+Q51+R51</f>
        <v>0</v>
      </c>
      <c r="T51" s="2">
        <f>O51-S51</f>
        <v>0</v>
      </c>
    </row>
    <row r="52" spans="1:20">
      <c r="A52" t="s">
        <v>70</v>
      </c>
      <c r="B52" t="s">
        <v>170</v>
      </c>
      <c r="C52" t="s">
        <v>223</v>
      </c>
      <c r="D52" t="s">
        <v>230</v>
      </c>
      <c r="E52" t="s">
        <v>278</v>
      </c>
      <c r="F52" t="s">
        <v>327</v>
      </c>
      <c r="G52">
        <v>108688</v>
      </c>
      <c r="H52">
        <v>3.8</v>
      </c>
      <c r="I52" s="2">
        <f>G52*(H52/5)*0.1</f>
        <v>0</v>
      </c>
      <c r="J52">
        <v>8</v>
      </c>
      <c r="K52">
        <v>41</v>
      </c>
      <c r="L52" s="2">
        <f>J52*K52</f>
        <v>0</v>
      </c>
      <c r="M52">
        <v>2000</v>
      </c>
      <c r="N52">
        <v>500</v>
      </c>
      <c r="O52" s="2">
        <f>G52+I52+L52+M52+N52</f>
        <v>0</v>
      </c>
      <c r="P52" s="2">
        <f>G52*0.12</f>
        <v>0</v>
      </c>
      <c r="Q52" s="2">
        <f>IF(D52="Director", 1000, 500)</f>
        <v>0</v>
      </c>
      <c r="R52" s="2">
        <f>IF(O52&lt;70000, O52*0.05, IF(O52&lt;110000, 3500+(O52-70000)*0.15, 9500+(O52-110000)*0.25))</f>
        <v>0</v>
      </c>
      <c r="S52" s="2">
        <f>P52+Q52+R52</f>
        <v>0</v>
      </c>
      <c r="T52" s="2">
        <f>O52-S52</f>
        <v>0</v>
      </c>
    </row>
    <row r="53" spans="1:20">
      <c r="A53" t="s">
        <v>71</v>
      </c>
      <c r="B53" t="s">
        <v>171</v>
      </c>
      <c r="C53" t="s">
        <v>223</v>
      </c>
      <c r="D53" t="s">
        <v>229</v>
      </c>
      <c r="E53" t="s">
        <v>279</v>
      </c>
      <c r="F53" t="s">
        <v>327</v>
      </c>
      <c r="G53">
        <v>100470</v>
      </c>
      <c r="H53">
        <v>2.6</v>
      </c>
      <c r="I53" s="2">
        <f>G53*(H53/5)*0.1</f>
        <v>0</v>
      </c>
      <c r="J53">
        <v>2</v>
      </c>
      <c r="K53">
        <v>47</v>
      </c>
      <c r="L53" s="2">
        <f>J53*K53</f>
        <v>0</v>
      </c>
      <c r="M53">
        <v>2000</v>
      </c>
      <c r="N53">
        <v>500</v>
      </c>
      <c r="O53" s="2">
        <f>G53+I53+L53+M53+N53</f>
        <v>0</v>
      </c>
      <c r="P53" s="2">
        <f>G53*0.12</f>
        <v>0</v>
      </c>
      <c r="Q53" s="2">
        <f>IF(D53="Director", 1000, 500)</f>
        <v>0</v>
      </c>
      <c r="R53" s="2">
        <f>IF(O53&lt;70000, O53*0.05, IF(O53&lt;110000, 3500+(O53-70000)*0.15, 9500+(O53-110000)*0.25))</f>
        <v>0</v>
      </c>
      <c r="S53" s="2">
        <f>P53+Q53+R53</f>
        <v>0</v>
      </c>
      <c r="T53" s="2">
        <f>O53-S53</f>
        <v>0</v>
      </c>
    </row>
    <row r="54" spans="1:20">
      <c r="A54" t="s">
        <v>72</v>
      </c>
      <c r="B54" t="s">
        <v>172</v>
      </c>
      <c r="C54" t="s">
        <v>224</v>
      </c>
      <c r="D54" t="s">
        <v>230</v>
      </c>
      <c r="E54" t="s">
        <v>280</v>
      </c>
      <c r="F54" t="s">
        <v>325</v>
      </c>
      <c r="G54">
        <v>104100</v>
      </c>
      <c r="H54">
        <v>2.4</v>
      </c>
      <c r="I54" s="2">
        <f>G54*(H54/5)*0.1</f>
        <v>0</v>
      </c>
      <c r="J54">
        <v>18</v>
      </c>
      <c r="K54">
        <v>40</v>
      </c>
      <c r="L54" s="2">
        <f>J54*K54</f>
        <v>0</v>
      </c>
      <c r="M54">
        <v>2000</v>
      </c>
      <c r="N54">
        <v>500</v>
      </c>
      <c r="O54" s="2">
        <f>G54+I54+L54+M54+N54</f>
        <v>0</v>
      </c>
      <c r="P54" s="2">
        <f>G54*0.12</f>
        <v>0</v>
      </c>
      <c r="Q54" s="2">
        <f>IF(D54="Director", 1000, 500)</f>
        <v>0</v>
      </c>
      <c r="R54" s="2">
        <f>IF(O54&lt;70000, O54*0.05, IF(O54&lt;110000, 3500+(O54-70000)*0.15, 9500+(O54-110000)*0.25))</f>
        <v>0</v>
      </c>
      <c r="S54" s="2">
        <f>P54+Q54+R54</f>
        <v>0</v>
      </c>
      <c r="T54" s="2">
        <f>O54-S54</f>
        <v>0</v>
      </c>
    </row>
    <row r="55" spans="1:20">
      <c r="A55" t="s">
        <v>73</v>
      </c>
      <c r="B55" t="s">
        <v>173</v>
      </c>
      <c r="C55" t="s">
        <v>225</v>
      </c>
      <c r="D55" t="s">
        <v>230</v>
      </c>
      <c r="E55" t="s">
        <v>281</v>
      </c>
      <c r="F55" t="s">
        <v>327</v>
      </c>
      <c r="G55">
        <v>90747</v>
      </c>
      <c r="H55">
        <v>3.3</v>
      </c>
      <c r="I55" s="2">
        <f>G55*(H55/5)*0.1</f>
        <v>0</v>
      </c>
      <c r="J55">
        <v>5</v>
      </c>
      <c r="K55">
        <v>40</v>
      </c>
      <c r="L55" s="2">
        <f>J55*K55</f>
        <v>0</v>
      </c>
      <c r="M55">
        <v>2000</v>
      </c>
      <c r="N55">
        <v>500</v>
      </c>
      <c r="O55" s="2">
        <f>G55+I55+L55+M55+N55</f>
        <v>0</v>
      </c>
      <c r="P55" s="2">
        <f>G55*0.12</f>
        <v>0</v>
      </c>
      <c r="Q55" s="2">
        <f>IF(D55="Director", 1000, 500)</f>
        <v>0</v>
      </c>
      <c r="R55" s="2">
        <f>IF(O55&lt;70000, O55*0.05, IF(O55&lt;110000, 3500+(O55-70000)*0.15, 9500+(O55-110000)*0.25))</f>
        <v>0</v>
      </c>
      <c r="S55" s="2">
        <f>P55+Q55+R55</f>
        <v>0</v>
      </c>
      <c r="T55" s="2">
        <f>O55-S55</f>
        <v>0</v>
      </c>
    </row>
    <row r="56" spans="1:20">
      <c r="A56" t="s">
        <v>74</v>
      </c>
      <c r="B56" t="s">
        <v>174</v>
      </c>
      <c r="C56" t="s">
        <v>223</v>
      </c>
      <c r="D56" t="s">
        <v>230</v>
      </c>
      <c r="E56" t="s">
        <v>282</v>
      </c>
      <c r="F56" t="s">
        <v>327</v>
      </c>
      <c r="G56">
        <v>55756</v>
      </c>
      <c r="H56">
        <v>3.3</v>
      </c>
      <c r="I56" s="2">
        <f>G56*(H56/5)*0.1</f>
        <v>0</v>
      </c>
      <c r="J56">
        <v>13</v>
      </c>
      <c r="K56">
        <v>72</v>
      </c>
      <c r="L56" s="2">
        <f>J56*K56</f>
        <v>0</v>
      </c>
      <c r="M56">
        <v>2000</v>
      </c>
      <c r="N56">
        <v>500</v>
      </c>
      <c r="O56" s="2">
        <f>G56+I56+L56+M56+N56</f>
        <v>0</v>
      </c>
      <c r="P56" s="2">
        <f>G56*0.12</f>
        <v>0</v>
      </c>
      <c r="Q56" s="2">
        <f>IF(D56="Director", 1000, 500)</f>
        <v>0</v>
      </c>
      <c r="R56" s="2">
        <f>IF(O56&lt;70000, O56*0.05, IF(O56&lt;110000, 3500+(O56-70000)*0.15, 9500+(O56-110000)*0.25))</f>
        <v>0</v>
      </c>
      <c r="S56" s="2">
        <f>P56+Q56+R56</f>
        <v>0</v>
      </c>
      <c r="T56" s="2">
        <f>O56-S56</f>
        <v>0</v>
      </c>
    </row>
    <row r="57" spans="1:20">
      <c r="A57" t="s">
        <v>75</v>
      </c>
      <c r="B57" t="s">
        <v>175</v>
      </c>
      <c r="C57" t="s">
        <v>221</v>
      </c>
      <c r="D57" t="s">
        <v>229</v>
      </c>
      <c r="E57" t="s">
        <v>283</v>
      </c>
      <c r="F57" t="s">
        <v>327</v>
      </c>
      <c r="G57">
        <v>101556</v>
      </c>
      <c r="H57">
        <v>4.5</v>
      </c>
      <c r="I57" s="2">
        <f>G57*(H57/5)*0.1</f>
        <v>0</v>
      </c>
      <c r="J57">
        <v>20</v>
      </c>
      <c r="K57">
        <v>30</v>
      </c>
      <c r="L57" s="2">
        <f>J57*K57</f>
        <v>0</v>
      </c>
      <c r="M57">
        <v>2000</v>
      </c>
      <c r="N57">
        <v>500</v>
      </c>
      <c r="O57" s="2">
        <f>G57+I57+L57+M57+N57</f>
        <v>0</v>
      </c>
      <c r="P57" s="2">
        <f>G57*0.12</f>
        <v>0</v>
      </c>
      <c r="Q57" s="2">
        <f>IF(D57="Director", 1000, 500)</f>
        <v>0</v>
      </c>
      <c r="R57" s="2">
        <f>IF(O57&lt;70000, O57*0.05, IF(O57&lt;110000, 3500+(O57-70000)*0.15, 9500+(O57-110000)*0.25))</f>
        <v>0</v>
      </c>
      <c r="S57" s="2">
        <f>P57+Q57+R57</f>
        <v>0</v>
      </c>
      <c r="T57" s="2">
        <f>O57-S57</f>
        <v>0</v>
      </c>
    </row>
    <row r="58" spans="1:20">
      <c r="A58" t="s">
        <v>76</v>
      </c>
      <c r="B58" t="s">
        <v>176</v>
      </c>
      <c r="C58" t="s">
        <v>222</v>
      </c>
      <c r="D58" t="s">
        <v>230</v>
      </c>
      <c r="E58" t="s">
        <v>284</v>
      </c>
      <c r="F58" t="s">
        <v>325</v>
      </c>
      <c r="G58">
        <v>120824</v>
      </c>
      <c r="H58">
        <v>2.4</v>
      </c>
      <c r="I58" s="2">
        <f>G58*(H58/5)*0.1</f>
        <v>0</v>
      </c>
      <c r="J58">
        <v>12</v>
      </c>
      <c r="K58">
        <v>62</v>
      </c>
      <c r="L58" s="2">
        <f>J58*K58</f>
        <v>0</v>
      </c>
      <c r="M58">
        <v>2000</v>
      </c>
      <c r="N58">
        <v>500</v>
      </c>
      <c r="O58" s="2">
        <f>G58+I58+L58+M58+N58</f>
        <v>0</v>
      </c>
      <c r="P58" s="2">
        <f>G58*0.12</f>
        <v>0</v>
      </c>
      <c r="Q58" s="2">
        <f>IF(D58="Director", 1000, 500)</f>
        <v>0</v>
      </c>
      <c r="R58" s="2">
        <f>IF(O58&lt;70000, O58*0.05, IF(O58&lt;110000, 3500+(O58-70000)*0.15, 9500+(O58-110000)*0.25))</f>
        <v>0</v>
      </c>
      <c r="S58" s="2">
        <f>P58+Q58+R58</f>
        <v>0</v>
      </c>
      <c r="T58" s="2">
        <f>O58-S58</f>
        <v>0</v>
      </c>
    </row>
    <row r="59" spans="1:20">
      <c r="A59" t="s">
        <v>77</v>
      </c>
      <c r="B59" t="s">
        <v>177</v>
      </c>
      <c r="C59" t="s">
        <v>224</v>
      </c>
      <c r="D59" t="s">
        <v>228</v>
      </c>
      <c r="E59" t="s">
        <v>285</v>
      </c>
      <c r="F59" t="s">
        <v>325</v>
      </c>
      <c r="G59">
        <v>73783</v>
      </c>
      <c r="H59">
        <v>4</v>
      </c>
      <c r="I59" s="2">
        <f>G59*(H59/5)*0.1</f>
        <v>0</v>
      </c>
      <c r="J59">
        <v>10</v>
      </c>
      <c r="K59">
        <v>50</v>
      </c>
      <c r="L59" s="2">
        <f>J59*K59</f>
        <v>0</v>
      </c>
      <c r="M59">
        <v>2000</v>
      </c>
      <c r="N59">
        <v>500</v>
      </c>
      <c r="O59" s="2">
        <f>G59+I59+L59+M59+N59</f>
        <v>0</v>
      </c>
      <c r="P59" s="2">
        <f>G59*0.12</f>
        <v>0</v>
      </c>
      <c r="Q59" s="2">
        <f>IF(D59="Director", 1000, 500)</f>
        <v>0</v>
      </c>
      <c r="R59" s="2">
        <f>IF(O59&lt;70000, O59*0.05, IF(O59&lt;110000, 3500+(O59-70000)*0.15, 9500+(O59-110000)*0.25))</f>
        <v>0</v>
      </c>
      <c r="S59" s="2">
        <f>P59+Q59+R59</f>
        <v>0</v>
      </c>
      <c r="T59" s="2">
        <f>O59-S59</f>
        <v>0</v>
      </c>
    </row>
    <row r="60" spans="1:20">
      <c r="A60" t="s">
        <v>78</v>
      </c>
      <c r="B60" t="s">
        <v>178</v>
      </c>
      <c r="C60" t="s">
        <v>224</v>
      </c>
      <c r="D60" t="s">
        <v>230</v>
      </c>
      <c r="E60" t="s">
        <v>286</v>
      </c>
      <c r="F60" t="s">
        <v>326</v>
      </c>
      <c r="G60">
        <v>143880</v>
      </c>
      <c r="H60">
        <v>2.1</v>
      </c>
      <c r="I60" s="2">
        <f>G60*(H60/5)*0.1</f>
        <v>0</v>
      </c>
      <c r="J60">
        <v>1</v>
      </c>
      <c r="K60">
        <v>44</v>
      </c>
      <c r="L60" s="2">
        <f>J60*K60</f>
        <v>0</v>
      </c>
      <c r="M60">
        <v>2000</v>
      </c>
      <c r="N60">
        <v>500</v>
      </c>
      <c r="O60" s="2">
        <f>G60+I60+L60+M60+N60</f>
        <v>0</v>
      </c>
      <c r="P60" s="2">
        <f>G60*0.12</f>
        <v>0</v>
      </c>
      <c r="Q60" s="2">
        <f>IF(D60="Director", 1000, 500)</f>
        <v>0</v>
      </c>
      <c r="R60" s="2">
        <f>IF(O60&lt;70000, O60*0.05, IF(O60&lt;110000, 3500+(O60-70000)*0.15, 9500+(O60-110000)*0.25))</f>
        <v>0</v>
      </c>
      <c r="S60" s="2">
        <f>P60+Q60+R60</f>
        <v>0</v>
      </c>
      <c r="T60" s="2">
        <f>O60-S60</f>
        <v>0</v>
      </c>
    </row>
    <row r="61" spans="1:20">
      <c r="A61" t="s">
        <v>79</v>
      </c>
      <c r="B61" t="s">
        <v>179</v>
      </c>
      <c r="C61" t="s">
        <v>225</v>
      </c>
      <c r="D61" t="s">
        <v>227</v>
      </c>
      <c r="E61" t="s">
        <v>287</v>
      </c>
      <c r="F61" t="s">
        <v>326</v>
      </c>
      <c r="G61">
        <v>78989</v>
      </c>
      <c r="H61">
        <v>1.5</v>
      </c>
      <c r="I61" s="2">
        <f>G61*(H61/5)*0.1</f>
        <v>0</v>
      </c>
      <c r="J61">
        <v>15</v>
      </c>
      <c r="K61">
        <v>60</v>
      </c>
      <c r="L61" s="2">
        <f>J61*K61</f>
        <v>0</v>
      </c>
      <c r="M61">
        <v>2000</v>
      </c>
      <c r="N61">
        <v>500</v>
      </c>
      <c r="O61" s="2">
        <f>G61+I61+L61+M61+N61</f>
        <v>0</v>
      </c>
      <c r="P61" s="2">
        <f>G61*0.12</f>
        <v>0</v>
      </c>
      <c r="Q61" s="2">
        <f>IF(D61="Director", 1000, 500)</f>
        <v>0</v>
      </c>
      <c r="R61" s="2">
        <f>IF(O61&lt;70000, O61*0.05, IF(O61&lt;110000, 3500+(O61-70000)*0.15, 9500+(O61-110000)*0.25))</f>
        <v>0</v>
      </c>
      <c r="S61" s="2">
        <f>P61+Q61+R61</f>
        <v>0</v>
      </c>
      <c r="T61" s="2">
        <f>O61-S61</f>
        <v>0</v>
      </c>
    </row>
    <row r="62" spans="1:20">
      <c r="A62" t="s">
        <v>80</v>
      </c>
      <c r="B62" t="s">
        <v>180</v>
      </c>
      <c r="C62" t="s">
        <v>223</v>
      </c>
      <c r="D62" t="s">
        <v>229</v>
      </c>
      <c r="E62" t="s">
        <v>288</v>
      </c>
      <c r="F62" t="s">
        <v>326</v>
      </c>
      <c r="G62">
        <v>133356</v>
      </c>
      <c r="H62">
        <v>3</v>
      </c>
      <c r="I62" s="2">
        <f>G62*(H62/5)*0.1</f>
        <v>0</v>
      </c>
      <c r="J62">
        <v>5</v>
      </c>
      <c r="K62">
        <v>76</v>
      </c>
      <c r="L62" s="2">
        <f>J62*K62</f>
        <v>0</v>
      </c>
      <c r="M62">
        <v>2000</v>
      </c>
      <c r="N62">
        <v>500</v>
      </c>
      <c r="O62" s="2">
        <f>G62+I62+L62+M62+N62</f>
        <v>0</v>
      </c>
      <c r="P62" s="2">
        <f>G62*0.12</f>
        <v>0</v>
      </c>
      <c r="Q62" s="2">
        <f>IF(D62="Director", 1000, 500)</f>
        <v>0</v>
      </c>
      <c r="R62" s="2">
        <f>IF(O62&lt;70000, O62*0.05, IF(O62&lt;110000, 3500+(O62-70000)*0.15, 9500+(O62-110000)*0.25))</f>
        <v>0</v>
      </c>
      <c r="S62" s="2">
        <f>P62+Q62+R62</f>
        <v>0</v>
      </c>
      <c r="T62" s="2">
        <f>O62-S62</f>
        <v>0</v>
      </c>
    </row>
    <row r="63" spans="1:20">
      <c r="A63" t="s">
        <v>81</v>
      </c>
      <c r="B63" t="s">
        <v>181</v>
      </c>
      <c r="C63" t="s">
        <v>221</v>
      </c>
      <c r="D63" t="s">
        <v>230</v>
      </c>
      <c r="E63" t="s">
        <v>250</v>
      </c>
      <c r="F63" t="s">
        <v>325</v>
      </c>
      <c r="G63">
        <v>116911</v>
      </c>
      <c r="H63">
        <v>3.3</v>
      </c>
      <c r="I63" s="2">
        <f>G63*(H63/5)*0.1</f>
        <v>0</v>
      </c>
      <c r="J63">
        <v>9</v>
      </c>
      <c r="K63">
        <v>49</v>
      </c>
      <c r="L63" s="2">
        <f>J63*K63</f>
        <v>0</v>
      </c>
      <c r="M63">
        <v>2000</v>
      </c>
      <c r="N63">
        <v>500</v>
      </c>
      <c r="O63" s="2">
        <f>G63+I63+L63+M63+N63</f>
        <v>0</v>
      </c>
      <c r="P63" s="2">
        <f>G63*0.12</f>
        <v>0</v>
      </c>
      <c r="Q63" s="2">
        <f>IF(D63="Director", 1000, 500)</f>
        <v>0</v>
      </c>
      <c r="R63" s="2">
        <f>IF(O63&lt;70000, O63*0.05, IF(O63&lt;110000, 3500+(O63-70000)*0.15, 9500+(O63-110000)*0.25))</f>
        <v>0</v>
      </c>
      <c r="S63" s="2">
        <f>P63+Q63+R63</f>
        <v>0</v>
      </c>
      <c r="T63" s="2">
        <f>O63-S63</f>
        <v>0</v>
      </c>
    </row>
    <row r="64" spans="1:20">
      <c r="A64" t="s">
        <v>82</v>
      </c>
      <c r="B64" t="s">
        <v>182</v>
      </c>
      <c r="C64" t="s">
        <v>222</v>
      </c>
      <c r="D64" t="s">
        <v>230</v>
      </c>
      <c r="E64" t="s">
        <v>289</v>
      </c>
      <c r="F64" t="s">
        <v>327</v>
      </c>
      <c r="G64">
        <v>59835</v>
      </c>
      <c r="H64">
        <v>1.4</v>
      </c>
      <c r="I64" s="2">
        <f>G64*(H64/5)*0.1</f>
        <v>0</v>
      </c>
      <c r="J64">
        <v>14</v>
      </c>
      <c r="K64">
        <v>34</v>
      </c>
      <c r="L64" s="2">
        <f>J64*K64</f>
        <v>0</v>
      </c>
      <c r="M64">
        <v>2000</v>
      </c>
      <c r="N64">
        <v>500</v>
      </c>
      <c r="O64" s="2">
        <f>G64+I64+L64+M64+N64</f>
        <v>0</v>
      </c>
      <c r="P64" s="2">
        <f>G64*0.12</f>
        <v>0</v>
      </c>
      <c r="Q64" s="2">
        <f>IF(D64="Director", 1000, 500)</f>
        <v>0</v>
      </c>
      <c r="R64" s="2">
        <f>IF(O64&lt;70000, O64*0.05, IF(O64&lt;110000, 3500+(O64-70000)*0.15, 9500+(O64-110000)*0.25))</f>
        <v>0</v>
      </c>
      <c r="S64" s="2">
        <f>P64+Q64+R64</f>
        <v>0</v>
      </c>
      <c r="T64" s="2">
        <f>O64-S64</f>
        <v>0</v>
      </c>
    </row>
    <row r="65" spans="1:20">
      <c r="A65" t="s">
        <v>83</v>
      </c>
      <c r="B65" t="s">
        <v>183</v>
      </c>
      <c r="C65" t="s">
        <v>225</v>
      </c>
      <c r="D65" t="s">
        <v>230</v>
      </c>
      <c r="E65" t="s">
        <v>290</v>
      </c>
      <c r="F65" t="s">
        <v>327</v>
      </c>
      <c r="G65">
        <v>70027</v>
      </c>
      <c r="H65">
        <v>4.1</v>
      </c>
      <c r="I65" s="2">
        <f>G65*(H65/5)*0.1</f>
        <v>0</v>
      </c>
      <c r="J65">
        <v>17</v>
      </c>
      <c r="K65">
        <v>52</v>
      </c>
      <c r="L65" s="2">
        <f>J65*K65</f>
        <v>0</v>
      </c>
      <c r="M65">
        <v>2000</v>
      </c>
      <c r="N65">
        <v>500</v>
      </c>
      <c r="O65" s="2">
        <f>G65+I65+L65+M65+N65</f>
        <v>0</v>
      </c>
      <c r="P65" s="2">
        <f>G65*0.12</f>
        <v>0</v>
      </c>
      <c r="Q65" s="2">
        <f>IF(D65="Director", 1000, 500)</f>
        <v>0</v>
      </c>
      <c r="R65" s="2">
        <f>IF(O65&lt;70000, O65*0.05, IF(O65&lt;110000, 3500+(O65-70000)*0.15, 9500+(O65-110000)*0.25))</f>
        <v>0</v>
      </c>
      <c r="S65" s="2">
        <f>P65+Q65+R65</f>
        <v>0</v>
      </c>
      <c r="T65" s="2">
        <f>O65-S65</f>
        <v>0</v>
      </c>
    </row>
    <row r="66" spans="1:20">
      <c r="A66" t="s">
        <v>84</v>
      </c>
      <c r="B66" t="s">
        <v>184</v>
      </c>
      <c r="C66" t="s">
        <v>225</v>
      </c>
      <c r="D66" t="s">
        <v>229</v>
      </c>
      <c r="E66" t="s">
        <v>291</v>
      </c>
      <c r="F66" t="s">
        <v>325</v>
      </c>
      <c r="G66">
        <v>132421</v>
      </c>
      <c r="H66">
        <v>2.9</v>
      </c>
      <c r="I66" s="2">
        <f>G66*(H66/5)*0.1</f>
        <v>0</v>
      </c>
      <c r="J66">
        <v>4</v>
      </c>
      <c r="K66">
        <v>33</v>
      </c>
      <c r="L66" s="2">
        <f>J66*K66</f>
        <v>0</v>
      </c>
      <c r="M66">
        <v>2000</v>
      </c>
      <c r="N66">
        <v>500</v>
      </c>
      <c r="O66" s="2">
        <f>G66+I66+L66+M66+N66</f>
        <v>0</v>
      </c>
      <c r="P66" s="2">
        <f>G66*0.12</f>
        <v>0</v>
      </c>
      <c r="Q66" s="2">
        <f>IF(D66="Director", 1000, 500)</f>
        <v>0</v>
      </c>
      <c r="R66" s="2">
        <f>IF(O66&lt;70000, O66*0.05, IF(O66&lt;110000, 3500+(O66-70000)*0.15, 9500+(O66-110000)*0.25))</f>
        <v>0</v>
      </c>
      <c r="S66" s="2">
        <f>P66+Q66+R66</f>
        <v>0</v>
      </c>
      <c r="T66" s="2">
        <f>O66-S66</f>
        <v>0</v>
      </c>
    </row>
    <row r="67" spans="1:20">
      <c r="A67" t="s">
        <v>85</v>
      </c>
      <c r="B67" t="s">
        <v>185</v>
      </c>
      <c r="C67" t="s">
        <v>220</v>
      </c>
      <c r="D67" t="s">
        <v>229</v>
      </c>
      <c r="E67" t="s">
        <v>292</v>
      </c>
      <c r="F67" t="s">
        <v>326</v>
      </c>
      <c r="G67">
        <v>95928</v>
      </c>
      <c r="H67">
        <v>2.7</v>
      </c>
      <c r="I67" s="2">
        <f>G67*(H67/5)*0.1</f>
        <v>0</v>
      </c>
      <c r="J67">
        <v>16</v>
      </c>
      <c r="K67">
        <v>74</v>
      </c>
      <c r="L67" s="2">
        <f>J67*K67</f>
        <v>0</v>
      </c>
      <c r="M67">
        <v>2000</v>
      </c>
      <c r="N67">
        <v>500</v>
      </c>
      <c r="O67" s="2">
        <f>G67+I67+L67+M67+N67</f>
        <v>0</v>
      </c>
      <c r="P67" s="2">
        <f>G67*0.12</f>
        <v>0</v>
      </c>
      <c r="Q67" s="2">
        <f>IF(D67="Director", 1000, 500)</f>
        <v>0</v>
      </c>
      <c r="R67" s="2">
        <f>IF(O67&lt;70000, O67*0.05, IF(O67&lt;110000, 3500+(O67-70000)*0.15, 9500+(O67-110000)*0.25))</f>
        <v>0</v>
      </c>
      <c r="S67" s="2">
        <f>P67+Q67+R67</f>
        <v>0</v>
      </c>
      <c r="T67" s="2">
        <f>O67-S67</f>
        <v>0</v>
      </c>
    </row>
    <row r="68" spans="1:20">
      <c r="A68" t="s">
        <v>86</v>
      </c>
      <c r="B68" t="s">
        <v>186</v>
      </c>
      <c r="C68" t="s">
        <v>220</v>
      </c>
      <c r="D68" t="s">
        <v>227</v>
      </c>
      <c r="E68" t="s">
        <v>293</v>
      </c>
      <c r="F68" t="s">
        <v>327</v>
      </c>
      <c r="G68">
        <v>64696</v>
      </c>
      <c r="H68">
        <v>2.6</v>
      </c>
      <c r="I68" s="2">
        <f>G68*(H68/5)*0.1</f>
        <v>0</v>
      </c>
      <c r="J68">
        <v>18</v>
      </c>
      <c r="K68">
        <v>56</v>
      </c>
      <c r="L68" s="2">
        <f>J68*K68</f>
        <v>0</v>
      </c>
      <c r="M68">
        <v>2000</v>
      </c>
      <c r="N68">
        <v>500</v>
      </c>
      <c r="O68" s="2">
        <f>G68+I68+L68+M68+N68</f>
        <v>0</v>
      </c>
      <c r="P68" s="2">
        <f>G68*0.12</f>
        <v>0</v>
      </c>
      <c r="Q68" s="2">
        <f>IF(D68="Director", 1000, 500)</f>
        <v>0</v>
      </c>
      <c r="R68" s="2">
        <f>IF(O68&lt;70000, O68*0.05, IF(O68&lt;110000, 3500+(O68-70000)*0.15, 9500+(O68-110000)*0.25))</f>
        <v>0</v>
      </c>
      <c r="S68" s="2">
        <f>P68+Q68+R68</f>
        <v>0</v>
      </c>
      <c r="T68" s="2">
        <f>O68-S68</f>
        <v>0</v>
      </c>
    </row>
    <row r="69" spans="1:20">
      <c r="A69" t="s">
        <v>87</v>
      </c>
      <c r="B69" t="s">
        <v>187</v>
      </c>
      <c r="C69" t="s">
        <v>222</v>
      </c>
      <c r="D69" t="s">
        <v>227</v>
      </c>
      <c r="E69" t="s">
        <v>294</v>
      </c>
      <c r="F69" t="s">
        <v>326</v>
      </c>
      <c r="G69">
        <v>76294</v>
      </c>
      <c r="H69">
        <v>2</v>
      </c>
      <c r="I69" s="2">
        <f>G69*(H69/5)*0.1</f>
        <v>0</v>
      </c>
      <c r="J69">
        <v>16</v>
      </c>
      <c r="K69">
        <v>57</v>
      </c>
      <c r="L69" s="2">
        <f>J69*K69</f>
        <v>0</v>
      </c>
      <c r="M69">
        <v>2000</v>
      </c>
      <c r="N69">
        <v>500</v>
      </c>
      <c r="O69" s="2">
        <f>G69+I69+L69+M69+N69</f>
        <v>0</v>
      </c>
      <c r="P69" s="2">
        <f>G69*0.12</f>
        <v>0</v>
      </c>
      <c r="Q69" s="2">
        <f>IF(D69="Director", 1000, 500)</f>
        <v>0</v>
      </c>
      <c r="R69" s="2">
        <f>IF(O69&lt;70000, O69*0.05, IF(O69&lt;110000, 3500+(O69-70000)*0.15, 9500+(O69-110000)*0.25))</f>
        <v>0</v>
      </c>
      <c r="S69" s="2">
        <f>P69+Q69+R69</f>
        <v>0</v>
      </c>
      <c r="T69" s="2">
        <f>O69-S69</f>
        <v>0</v>
      </c>
    </row>
    <row r="70" spans="1:20">
      <c r="A70" t="s">
        <v>88</v>
      </c>
      <c r="B70" t="s">
        <v>188</v>
      </c>
      <c r="C70" t="s">
        <v>225</v>
      </c>
      <c r="D70" t="s">
        <v>230</v>
      </c>
      <c r="E70" t="s">
        <v>295</v>
      </c>
      <c r="F70" t="s">
        <v>325</v>
      </c>
      <c r="G70">
        <v>142643</v>
      </c>
      <c r="H70">
        <v>1.8</v>
      </c>
      <c r="I70" s="2">
        <f>G70*(H70/5)*0.1</f>
        <v>0</v>
      </c>
      <c r="J70">
        <v>15</v>
      </c>
      <c r="K70">
        <v>58</v>
      </c>
      <c r="L70" s="2">
        <f>J70*K70</f>
        <v>0</v>
      </c>
      <c r="M70">
        <v>2000</v>
      </c>
      <c r="N70">
        <v>500</v>
      </c>
      <c r="O70" s="2">
        <f>G70+I70+L70+M70+N70</f>
        <v>0</v>
      </c>
      <c r="P70" s="2">
        <f>G70*0.12</f>
        <v>0</v>
      </c>
      <c r="Q70" s="2">
        <f>IF(D70="Director", 1000, 500)</f>
        <v>0</v>
      </c>
      <c r="R70" s="2">
        <f>IF(O70&lt;70000, O70*0.05, IF(O70&lt;110000, 3500+(O70-70000)*0.15, 9500+(O70-110000)*0.25))</f>
        <v>0</v>
      </c>
      <c r="S70" s="2">
        <f>P70+Q70+R70</f>
        <v>0</v>
      </c>
      <c r="T70" s="2">
        <f>O70-S70</f>
        <v>0</v>
      </c>
    </row>
    <row r="71" spans="1:20">
      <c r="A71" t="s">
        <v>89</v>
      </c>
      <c r="B71" t="s">
        <v>189</v>
      </c>
      <c r="C71" t="s">
        <v>220</v>
      </c>
      <c r="D71" t="s">
        <v>228</v>
      </c>
      <c r="E71" t="s">
        <v>296</v>
      </c>
      <c r="F71" t="s">
        <v>327</v>
      </c>
      <c r="G71">
        <v>119373</v>
      </c>
      <c r="H71">
        <v>2.8</v>
      </c>
      <c r="I71" s="2">
        <f>G71*(H71/5)*0.1</f>
        <v>0</v>
      </c>
      <c r="J71">
        <v>12</v>
      </c>
      <c r="K71">
        <v>42</v>
      </c>
      <c r="L71" s="2">
        <f>J71*K71</f>
        <v>0</v>
      </c>
      <c r="M71">
        <v>2000</v>
      </c>
      <c r="N71">
        <v>500</v>
      </c>
      <c r="O71" s="2">
        <f>G71+I71+L71+M71+N71</f>
        <v>0</v>
      </c>
      <c r="P71" s="2">
        <f>G71*0.12</f>
        <v>0</v>
      </c>
      <c r="Q71" s="2">
        <f>IF(D71="Director", 1000, 500)</f>
        <v>0</v>
      </c>
      <c r="R71" s="2">
        <f>IF(O71&lt;70000, O71*0.05, IF(O71&lt;110000, 3500+(O71-70000)*0.15, 9500+(O71-110000)*0.25))</f>
        <v>0</v>
      </c>
      <c r="S71" s="2">
        <f>P71+Q71+R71</f>
        <v>0</v>
      </c>
      <c r="T71" s="2">
        <f>O71-S71</f>
        <v>0</v>
      </c>
    </row>
    <row r="72" spans="1:20">
      <c r="A72" t="s">
        <v>90</v>
      </c>
      <c r="B72" t="s">
        <v>190</v>
      </c>
      <c r="C72" t="s">
        <v>222</v>
      </c>
      <c r="D72" t="s">
        <v>228</v>
      </c>
      <c r="E72" t="s">
        <v>297</v>
      </c>
      <c r="F72" t="s">
        <v>325</v>
      </c>
      <c r="G72">
        <v>55160</v>
      </c>
      <c r="H72">
        <v>2.4</v>
      </c>
      <c r="I72" s="2">
        <f>G72*(H72/5)*0.1</f>
        <v>0</v>
      </c>
      <c r="J72">
        <v>19</v>
      </c>
      <c r="K72">
        <v>76</v>
      </c>
      <c r="L72" s="2">
        <f>J72*K72</f>
        <v>0</v>
      </c>
      <c r="M72">
        <v>2000</v>
      </c>
      <c r="N72">
        <v>500</v>
      </c>
      <c r="O72" s="2">
        <f>G72+I72+L72+M72+N72</f>
        <v>0</v>
      </c>
      <c r="P72" s="2">
        <f>G72*0.12</f>
        <v>0</v>
      </c>
      <c r="Q72" s="2">
        <f>IF(D72="Director", 1000, 500)</f>
        <v>0</v>
      </c>
      <c r="R72" s="2">
        <f>IF(O72&lt;70000, O72*0.05, IF(O72&lt;110000, 3500+(O72-70000)*0.15, 9500+(O72-110000)*0.25))</f>
        <v>0</v>
      </c>
      <c r="S72" s="2">
        <f>P72+Q72+R72</f>
        <v>0</v>
      </c>
      <c r="T72" s="2">
        <f>O72-S72</f>
        <v>0</v>
      </c>
    </row>
    <row r="73" spans="1:20">
      <c r="A73" t="s">
        <v>91</v>
      </c>
      <c r="B73" t="s">
        <v>191</v>
      </c>
      <c r="C73" t="s">
        <v>225</v>
      </c>
      <c r="D73" t="s">
        <v>226</v>
      </c>
      <c r="E73" t="s">
        <v>298</v>
      </c>
      <c r="F73" t="s">
        <v>325</v>
      </c>
      <c r="G73">
        <v>148472</v>
      </c>
      <c r="H73">
        <v>1.8</v>
      </c>
      <c r="I73" s="2">
        <f>G73*(H73/5)*0.1</f>
        <v>0</v>
      </c>
      <c r="J73">
        <v>9</v>
      </c>
      <c r="K73">
        <v>52</v>
      </c>
      <c r="L73" s="2">
        <f>J73*K73</f>
        <v>0</v>
      </c>
      <c r="M73">
        <v>2000</v>
      </c>
      <c r="N73">
        <v>500</v>
      </c>
      <c r="O73" s="2">
        <f>G73+I73+L73+M73+N73</f>
        <v>0</v>
      </c>
      <c r="P73" s="2">
        <f>G73*0.12</f>
        <v>0</v>
      </c>
      <c r="Q73" s="2">
        <f>IF(D73="Director", 1000, 500)</f>
        <v>0</v>
      </c>
      <c r="R73" s="2">
        <f>IF(O73&lt;70000, O73*0.05, IF(O73&lt;110000, 3500+(O73-70000)*0.15, 9500+(O73-110000)*0.25))</f>
        <v>0</v>
      </c>
      <c r="S73" s="2">
        <f>P73+Q73+R73</f>
        <v>0</v>
      </c>
      <c r="T73" s="2">
        <f>O73-S73</f>
        <v>0</v>
      </c>
    </row>
    <row r="74" spans="1:20">
      <c r="A74" t="s">
        <v>92</v>
      </c>
      <c r="B74" t="s">
        <v>192</v>
      </c>
      <c r="C74" t="s">
        <v>222</v>
      </c>
      <c r="D74" t="s">
        <v>230</v>
      </c>
      <c r="E74" t="s">
        <v>299</v>
      </c>
      <c r="F74" t="s">
        <v>327</v>
      </c>
      <c r="G74">
        <v>132597</v>
      </c>
      <c r="H74">
        <v>3.7</v>
      </c>
      <c r="I74" s="2">
        <f>G74*(H74/5)*0.1</f>
        <v>0</v>
      </c>
      <c r="J74">
        <v>10</v>
      </c>
      <c r="K74">
        <v>34</v>
      </c>
      <c r="L74" s="2">
        <f>J74*K74</f>
        <v>0</v>
      </c>
      <c r="M74">
        <v>2000</v>
      </c>
      <c r="N74">
        <v>500</v>
      </c>
      <c r="O74" s="2">
        <f>G74+I74+L74+M74+N74</f>
        <v>0</v>
      </c>
      <c r="P74" s="2">
        <f>G74*0.12</f>
        <v>0</v>
      </c>
      <c r="Q74" s="2">
        <f>IF(D74="Director", 1000, 500)</f>
        <v>0</v>
      </c>
      <c r="R74" s="2">
        <f>IF(O74&lt;70000, O74*0.05, IF(O74&lt;110000, 3500+(O74-70000)*0.15, 9500+(O74-110000)*0.25))</f>
        <v>0</v>
      </c>
      <c r="S74" s="2">
        <f>P74+Q74+R74</f>
        <v>0</v>
      </c>
      <c r="T74" s="2">
        <f>O74-S74</f>
        <v>0</v>
      </c>
    </row>
    <row r="75" spans="1:20">
      <c r="A75" t="s">
        <v>93</v>
      </c>
      <c r="B75" t="s">
        <v>193</v>
      </c>
      <c r="C75" t="s">
        <v>222</v>
      </c>
      <c r="D75" t="s">
        <v>227</v>
      </c>
      <c r="E75" t="s">
        <v>300</v>
      </c>
      <c r="F75" t="s">
        <v>326</v>
      </c>
      <c r="G75">
        <v>100223</v>
      </c>
      <c r="H75">
        <v>2.3</v>
      </c>
      <c r="I75" s="2">
        <f>G75*(H75/5)*0.1</f>
        <v>0</v>
      </c>
      <c r="J75">
        <v>12</v>
      </c>
      <c r="K75">
        <v>80</v>
      </c>
      <c r="L75" s="2">
        <f>J75*K75</f>
        <v>0</v>
      </c>
      <c r="M75">
        <v>2000</v>
      </c>
      <c r="N75">
        <v>500</v>
      </c>
      <c r="O75" s="2">
        <f>G75+I75+L75+M75+N75</f>
        <v>0</v>
      </c>
      <c r="P75" s="2">
        <f>G75*0.12</f>
        <v>0</v>
      </c>
      <c r="Q75" s="2">
        <f>IF(D75="Director", 1000, 500)</f>
        <v>0</v>
      </c>
      <c r="R75" s="2">
        <f>IF(O75&lt;70000, O75*0.05, IF(O75&lt;110000, 3500+(O75-70000)*0.15, 9500+(O75-110000)*0.25))</f>
        <v>0</v>
      </c>
      <c r="S75" s="2">
        <f>P75+Q75+R75</f>
        <v>0</v>
      </c>
      <c r="T75" s="2">
        <f>O75-S75</f>
        <v>0</v>
      </c>
    </row>
    <row r="76" spans="1:20">
      <c r="A76" t="s">
        <v>94</v>
      </c>
      <c r="B76" t="s">
        <v>194</v>
      </c>
      <c r="C76" t="s">
        <v>221</v>
      </c>
      <c r="D76" t="s">
        <v>228</v>
      </c>
      <c r="E76" t="s">
        <v>301</v>
      </c>
      <c r="F76" t="s">
        <v>326</v>
      </c>
      <c r="G76">
        <v>104513</v>
      </c>
      <c r="H76">
        <v>2.3</v>
      </c>
      <c r="I76" s="2">
        <f>G76*(H76/5)*0.1</f>
        <v>0</v>
      </c>
      <c r="J76">
        <v>6</v>
      </c>
      <c r="K76">
        <v>71</v>
      </c>
      <c r="L76" s="2">
        <f>J76*K76</f>
        <v>0</v>
      </c>
      <c r="M76">
        <v>2000</v>
      </c>
      <c r="N76">
        <v>500</v>
      </c>
      <c r="O76" s="2">
        <f>G76+I76+L76+M76+N76</f>
        <v>0</v>
      </c>
      <c r="P76" s="2">
        <f>G76*0.12</f>
        <v>0</v>
      </c>
      <c r="Q76" s="2">
        <f>IF(D76="Director", 1000, 500)</f>
        <v>0</v>
      </c>
      <c r="R76" s="2">
        <f>IF(O76&lt;70000, O76*0.05, IF(O76&lt;110000, 3500+(O76-70000)*0.15, 9500+(O76-110000)*0.25))</f>
        <v>0</v>
      </c>
      <c r="S76" s="2">
        <f>P76+Q76+R76</f>
        <v>0</v>
      </c>
      <c r="T76" s="2">
        <f>O76-S76</f>
        <v>0</v>
      </c>
    </row>
    <row r="77" spans="1:20">
      <c r="A77" t="s">
        <v>95</v>
      </c>
      <c r="B77" t="s">
        <v>195</v>
      </c>
      <c r="C77" t="s">
        <v>223</v>
      </c>
      <c r="D77" t="s">
        <v>227</v>
      </c>
      <c r="E77" t="s">
        <v>302</v>
      </c>
      <c r="F77" t="s">
        <v>326</v>
      </c>
      <c r="G77">
        <v>65306</v>
      </c>
      <c r="H77">
        <v>2</v>
      </c>
      <c r="I77" s="2">
        <f>G77*(H77/5)*0.1</f>
        <v>0</v>
      </c>
      <c r="J77">
        <v>13</v>
      </c>
      <c r="K77">
        <v>78</v>
      </c>
      <c r="L77" s="2">
        <f>J77*K77</f>
        <v>0</v>
      </c>
      <c r="M77">
        <v>2000</v>
      </c>
      <c r="N77">
        <v>500</v>
      </c>
      <c r="O77" s="2">
        <f>G77+I77+L77+M77+N77</f>
        <v>0</v>
      </c>
      <c r="P77" s="2">
        <f>G77*0.12</f>
        <v>0</v>
      </c>
      <c r="Q77" s="2">
        <f>IF(D77="Director", 1000, 500)</f>
        <v>0</v>
      </c>
      <c r="R77" s="2">
        <f>IF(O77&lt;70000, O77*0.05, IF(O77&lt;110000, 3500+(O77-70000)*0.15, 9500+(O77-110000)*0.25))</f>
        <v>0</v>
      </c>
      <c r="S77" s="2">
        <f>P77+Q77+R77</f>
        <v>0</v>
      </c>
      <c r="T77" s="2">
        <f>O77-S77</f>
        <v>0</v>
      </c>
    </row>
    <row r="78" spans="1:20">
      <c r="A78" t="s">
        <v>96</v>
      </c>
      <c r="B78" t="s">
        <v>196</v>
      </c>
      <c r="C78" t="s">
        <v>223</v>
      </c>
      <c r="D78" t="s">
        <v>228</v>
      </c>
      <c r="E78" t="s">
        <v>303</v>
      </c>
      <c r="F78" t="s">
        <v>327</v>
      </c>
      <c r="G78">
        <v>97215</v>
      </c>
      <c r="H78">
        <v>1</v>
      </c>
      <c r="I78" s="2">
        <f>G78*(H78/5)*0.1</f>
        <v>0</v>
      </c>
      <c r="J78">
        <v>19</v>
      </c>
      <c r="K78">
        <v>32</v>
      </c>
      <c r="L78" s="2">
        <f>J78*K78</f>
        <v>0</v>
      </c>
      <c r="M78">
        <v>2000</v>
      </c>
      <c r="N78">
        <v>500</v>
      </c>
      <c r="O78" s="2">
        <f>G78+I78+L78+M78+N78</f>
        <v>0</v>
      </c>
      <c r="P78" s="2">
        <f>G78*0.12</f>
        <v>0</v>
      </c>
      <c r="Q78" s="2">
        <f>IF(D78="Director", 1000, 500)</f>
        <v>0</v>
      </c>
      <c r="R78" s="2">
        <f>IF(O78&lt;70000, O78*0.05, IF(O78&lt;110000, 3500+(O78-70000)*0.15, 9500+(O78-110000)*0.25))</f>
        <v>0</v>
      </c>
      <c r="S78" s="2">
        <f>P78+Q78+R78</f>
        <v>0</v>
      </c>
      <c r="T78" s="2">
        <f>O78-S78</f>
        <v>0</v>
      </c>
    </row>
    <row r="79" spans="1:20">
      <c r="A79" t="s">
        <v>97</v>
      </c>
      <c r="B79" t="s">
        <v>197</v>
      </c>
      <c r="C79" t="s">
        <v>222</v>
      </c>
      <c r="D79" t="s">
        <v>226</v>
      </c>
      <c r="E79" t="s">
        <v>304</v>
      </c>
      <c r="F79" t="s">
        <v>327</v>
      </c>
      <c r="G79">
        <v>130156</v>
      </c>
      <c r="H79">
        <v>3.8</v>
      </c>
      <c r="I79" s="2">
        <f>G79*(H79/5)*0.1</f>
        <v>0</v>
      </c>
      <c r="J79">
        <v>13</v>
      </c>
      <c r="K79">
        <v>66</v>
      </c>
      <c r="L79" s="2">
        <f>J79*K79</f>
        <v>0</v>
      </c>
      <c r="M79">
        <v>2000</v>
      </c>
      <c r="N79">
        <v>500</v>
      </c>
      <c r="O79" s="2">
        <f>G79+I79+L79+M79+N79</f>
        <v>0</v>
      </c>
      <c r="P79" s="2">
        <f>G79*0.12</f>
        <v>0</v>
      </c>
      <c r="Q79" s="2">
        <f>IF(D79="Director", 1000, 500)</f>
        <v>0</v>
      </c>
      <c r="R79" s="2">
        <f>IF(O79&lt;70000, O79*0.05, IF(O79&lt;110000, 3500+(O79-70000)*0.15, 9500+(O79-110000)*0.25))</f>
        <v>0</v>
      </c>
      <c r="S79" s="2">
        <f>P79+Q79+R79</f>
        <v>0</v>
      </c>
      <c r="T79" s="2">
        <f>O79-S79</f>
        <v>0</v>
      </c>
    </row>
    <row r="80" spans="1:20">
      <c r="A80" t="s">
        <v>98</v>
      </c>
      <c r="B80" t="s">
        <v>198</v>
      </c>
      <c r="C80" t="s">
        <v>224</v>
      </c>
      <c r="D80" t="s">
        <v>227</v>
      </c>
      <c r="E80" t="s">
        <v>305</v>
      </c>
      <c r="F80" t="s">
        <v>327</v>
      </c>
      <c r="G80">
        <v>91552</v>
      </c>
      <c r="H80">
        <v>4.8</v>
      </c>
      <c r="I80" s="2">
        <f>G80*(H80/5)*0.1</f>
        <v>0</v>
      </c>
      <c r="J80">
        <v>18</v>
      </c>
      <c r="K80">
        <v>47</v>
      </c>
      <c r="L80" s="2">
        <f>J80*K80</f>
        <v>0</v>
      </c>
      <c r="M80">
        <v>2000</v>
      </c>
      <c r="N80">
        <v>500</v>
      </c>
      <c r="O80" s="2">
        <f>G80+I80+L80+M80+N80</f>
        <v>0</v>
      </c>
      <c r="P80" s="2">
        <f>G80*0.12</f>
        <v>0</v>
      </c>
      <c r="Q80" s="2">
        <f>IF(D80="Director", 1000, 500)</f>
        <v>0</v>
      </c>
      <c r="R80" s="2">
        <f>IF(O80&lt;70000, O80*0.05, IF(O80&lt;110000, 3500+(O80-70000)*0.15, 9500+(O80-110000)*0.25))</f>
        <v>0</v>
      </c>
      <c r="S80" s="2">
        <f>P80+Q80+R80</f>
        <v>0</v>
      </c>
      <c r="T80" s="2">
        <f>O80-S80</f>
        <v>0</v>
      </c>
    </row>
    <row r="81" spans="1:20">
      <c r="A81" t="s">
        <v>99</v>
      </c>
      <c r="B81" t="s">
        <v>199</v>
      </c>
      <c r="C81" t="s">
        <v>221</v>
      </c>
      <c r="D81" t="s">
        <v>227</v>
      </c>
      <c r="E81" t="s">
        <v>306</v>
      </c>
      <c r="F81" t="s">
        <v>325</v>
      </c>
      <c r="G81">
        <v>76498</v>
      </c>
      <c r="H81">
        <v>4.3</v>
      </c>
      <c r="I81" s="2">
        <f>G81*(H81/5)*0.1</f>
        <v>0</v>
      </c>
      <c r="J81">
        <v>10</v>
      </c>
      <c r="K81">
        <v>41</v>
      </c>
      <c r="L81" s="2">
        <f>J81*K81</f>
        <v>0</v>
      </c>
      <c r="M81">
        <v>2000</v>
      </c>
      <c r="N81">
        <v>500</v>
      </c>
      <c r="O81" s="2">
        <f>G81+I81+L81+M81+N81</f>
        <v>0</v>
      </c>
      <c r="P81" s="2">
        <f>G81*0.12</f>
        <v>0</v>
      </c>
      <c r="Q81" s="2">
        <f>IF(D81="Director", 1000, 500)</f>
        <v>0</v>
      </c>
      <c r="R81" s="2">
        <f>IF(O81&lt;70000, O81*0.05, IF(O81&lt;110000, 3500+(O81-70000)*0.15, 9500+(O81-110000)*0.25))</f>
        <v>0</v>
      </c>
      <c r="S81" s="2">
        <f>P81+Q81+R81</f>
        <v>0</v>
      </c>
      <c r="T81" s="2">
        <f>O81-S81</f>
        <v>0</v>
      </c>
    </row>
    <row r="82" spans="1:20">
      <c r="A82" t="s">
        <v>100</v>
      </c>
      <c r="B82" t="s">
        <v>200</v>
      </c>
      <c r="C82" t="s">
        <v>223</v>
      </c>
      <c r="D82" t="s">
        <v>228</v>
      </c>
      <c r="E82" t="s">
        <v>307</v>
      </c>
      <c r="F82" t="s">
        <v>326</v>
      </c>
      <c r="G82">
        <v>120346</v>
      </c>
      <c r="H82">
        <v>3.4</v>
      </c>
      <c r="I82" s="2">
        <f>G82*(H82/5)*0.1</f>
        <v>0</v>
      </c>
      <c r="J82">
        <v>15</v>
      </c>
      <c r="K82">
        <v>60</v>
      </c>
      <c r="L82" s="2">
        <f>J82*K82</f>
        <v>0</v>
      </c>
      <c r="M82">
        <v>2000</v>
      </c>
      <c r="N82">
        <v>500</v>
      </c>
      <c r="O82" s="2">
        <f>G82+I82+L82+M82+N82</f>
        <v>0</v>
      </c>
      <c r="P82" s="2">
        <f>G82*0.12</f>
        <v>0</v>
      </c>
      <c r="Q82" s="2">
        <f>IF(D82="Director", 1000, 500)</f>
        <v>0</v>
      </c>
      <c r="R82" s="2">
        <f>IF(O82&lt;70000, O82*0.05, IF(O82&lt;110000, 3500+(O82-70000)*0.15, 9500+(O82-110000)*0.25))</f>
        <v>0</v>
      </c>
      <c r="S82" s="2">
        <f>P82+Q82+R82</f>
        <v>0</v>
      </c>
      <c r="T82" s="2">
        <f>O82-S82</f>
        <v>0</v>
      </c>
    </row>
    <row r="83" spans="1:20">
      <c r="A83" t="s">
        <v>101</v>
      </c>
      <c r="B83" t="s">
        <v>201</v>
      </c>
      <c r="C83" t="s">
        <v>220</v>
      </c>
      <c r="D83" t="s">
        <v>228</v>
      </c>
      <c r="E83" t="s">
        <v>308</v>
      </c>
      <c r="F83" t="s">
        <v>327</v>
      </c>
      <c r="G83">
        <v>103473</v>
      </c>
      <c r="H83">
        <v>1.9</v>
      </c>
      <c r="I83" s="2">
        <f>G83*(H83/5)*0.1</f>
        <v>0</v>
      </c>
      <c r="J83">
        <v>16</v>
      </c>
      <c r="K83">
        <v>73</v>
      </c>
      <c r="L83" s="2">
        <f>J83*K83</f>
        <v>0</v>
      </c>
      <c r="M83">
        <v>2000</v>
      </c>
      <c r="N83">
        <v>500</v>
      </c>
      <c r="O83" s="2">
        <f>G83+I83+L83+M83+N83</f>
        <v>0</v>
      </c>
      <c r="P83" s="2">
        <f>G83*0.12</f>
        <v>0</v>
      </c>
      <c r="Q83" s="2">
        <f>IF(D83="Director", 1000, 500)</f>
        <v>0</v>
      </c>
      <c r="R83" s="2">
        <f>IF(O83&lt;70000, O83*0.05, IF(O83&lt;110000, 3500+(O83-70000)*0.15, 9500+(O83-110000)*0.25))</f>
        <v>0</v>
      </c>
      <c r="S83" s="2">
        <f>P83+Q83+R83</f>
        <v>0</v>
      </c>
      <c r="T83" s="2">
        <f>O83-S83</f>
        <v>0</v>
      </c>
    </row>
    <row r="84" spans="1:20">
      <c r="A84" t="s">
        <v>102</v>
      </c>
      <c r="B84" t="s">
        <v>202</v>
      </c>
      <c r="C84" t="s">
        <v>220</v>
      </c>
      <c r="D84" t="s">
        <v>228</v>
      </c>
      <c r="E84" t="s">
        <v>309</v>
      </c>
      <c r="F84" t="s">
        <v>325</v>
      </c>
      <c r="G84">
        <v>51450</v>
      </c>
      <c r="H84">
        <v>4.7</v>
      </c>
      <c r="I84" s="2">
        <f>G84*(H84/5)*0.1</f>
        <v>0</v>
      </c>
      <c r="J84">
        <v>9</v>
      </c>
      <c r="K84">
        <v>67</v>
      </c>
      <c r="L84" s="2">
        <f>J84*K84</f>
        <v>0</v>
      </c>
      <c r="M84">
        <v>2000</v>
      </c>
      <c r="N84">
        <v>500</v>
      </c>
      <c r="O84" s="2">
        <f>G84+I84+L84+M84+N84</f>
        <v>0</v>
      </c>
      <c r="P84" s="2">
        <f>G84*0.12</f>
        <v>0</v>
      </c>
      <c r="Q84" s="2">
        <f>IF(D84="Director", 1000, 500)</f>
        <v>0</v>
      </c>
      <c r="R84" s="2">
        <f>IF(O84&lt;70000, O84*0.05, IF(O84&lt;110000, 3500+(O84-70000)*0.15, 9500+(O84-110000)*0.25))</f>
        <v>0</v>
      </c>
      <c r="S84" s="2">
        <f>P84+Q84+R84</f>
        <v>0</v>
      </c>
      <c r="T84" s="2">
        <f>O84-S84</f>
        <v>0</v>
      </c>
    </row>
    <row r="85" spans="1:20">
      <c r="A85" t="s">
        <v>103</v>
      </c>
      <c r="B85" t="s">
        <v>203</v>
      </c>
      <c r="C85" t="s">
        <v>223</v>
      </c>
      <c r="D85" t="s">
        <v>226</v>
      </c>
      <c r="E85" t="s">
        <v>310</v>
      </c>
      <c r="F85" t="s">
        <v>326</v>
      </c>
      <c r="G85">
        <v>67883</v>
      </c>
      <c r="H85">
        <v>1.7</v>
      </c>
      <c r="I85" s="2">
        <f>G85*(H85/5)*0.1</f>
        <v>0</v>
      </c>
      <c r="J85">
        <v>19</v>
      </c>
      <c r="K85">
        <v>50</v>
      </c>
      <c r="L85" s="2">
        <f>J85*K85</f>
        <v>0</v>
      </c>
      <c r="M85">
        <v>2000</v>
      </c>
      <c r="N85">
        <v>500</v>
      </c>
      <c r="O85" s="2">
        <f>G85+I85+L85+M85+N85</f>
        <v>0</v>
      </c>
      <c r="P85" s="2">
        <f>G85*0.12</f>
        <v>0</v>
      </c>
      <c r="Q85" s="2">
        <f>IF(D85="Director", 1000, 500)</f>
        <v>0</v>
      </c>
      <c r="R85" s="2">
        <f>IF(O85&lt;70000, O85*0.05, IF(O85&lt;110000, 3500+(O85-70000)*0.15, 9500+(O85-110000)*0.25))</f>
        <v>0</v>
      </c>
      <c r="S85" s="2">
        <f>P85+Q85+R85</f>
        <v>0</v>
      </c>
      <c r="T85" s="2">
        <f>O85-S85</f>
        <v>0</v>
      </c>
    </row>
    <row r="86" spans="1:20">
      <c r="A86" t="s">
        <v>104</v>
      </c>
      <c r="B86" t="s">
        <v>204</v>
      </c>
      <c r="C86" t="s">
        <v>223</v>
      </c>
      <c r="D86" t="s">
        <v>226</v>
      </c>
      <c r="E86" t="s">
        <v>311</v>
      </c>
      <c r="F86" t="s">
        <v>325</v>
      </c>
      <c r="G86">
        <v>115333</v>
      </c>
      <c r="H86">
        <v>1.9</v>
      </c>
      <c r="I86" s="2">
        <f>G86*(H86/5)*0.1</f>
        <v>0</v>
      </c>
      <c r="J86">
        <v>14</v>
      </c>
      <c r="K86">
        <v>74</v>
      </c>
      <c r="L86" s="2">
        <f>J86*K86</f>
        <v>0</v>
      </c>
      <c r="M86">
        <v>2000</v>
      </c>
      <c r="N86">
        <v>500</v>
      </c>
      <c r="O86" s="2">
        <f>G86+I86+L86+M86+N86</f>
        <v>0</v>
      </c>
      <c r="P86" s="2">
        <f>G86*0.12</f>
        <v>0</v>
      </c>
      <c r="Q86" s="2">
        <f>IF(D86="Director", 1000, 500)</f>
        <v>0</v>
      </c>
      <c r="R86" s="2">
        <f>IF(O86&lt;70000, O86*0.05, IF(O86&lt;110000, 3500+(O86-70000)*0.15, 9500+(O86-110000)*0.25))</f>
        <v>0</v>
      </c>
      <c r="S86" s="2">
        <f>P86+Q86+R86</f>
        <v>0</v>
      </c>
      <c r="T86" s="2">
        <f>O86-S86</f>
        <v>0</v>
      </c>
    </row>
    <row r="87" spans="1:20">
      <c r="A87" t="s">
        <v>105</v>
      </c>
      <c r="B87" t="s">
        <v>205</v>
      </c>
      <c r="C87" t="s">
        <v>221</v>
      </c>
      <c r="D87" t="s">
        <v>226</v>
      </c>
      <c r="E87" t="s">
        <v>312</v>
      </c>
      <c r="F87" t="s">
        <v>325</v>
      </c>
      <c r="G87">
        <v>87033</v>
      </c>
      <c r="H87">
        <v>2</v>
      </c>
      <c r="I87" s="2">
        <f>G87*(H87/5)*0.1</f>
        <v>0</v>
      </c>
      <c r="J87">
        <v>16</v>
      </c>
      <c r="K87">
        <v>70</v>
      </c>
      <c r="L87" s="2">
        <f>J87*K87</f>
        <v>0</v>
      </c>
      <c r="M87">
        <v>2000</v>
      </c>
      <c r="N87">
        <v>500</v>
      </c>
      <c r="O87" s="2">
        <f>G87+I87+L87+M87+N87</f>
        <v>0</v>
      </c>
      <c r="P87" s="2">
        <f>G87*0.12</f>
        <v>0</v>
      </c>
      <c r="Q87" s="2">
        <f>IF(D87="Director", 1000, 500)</f>
        <v>0</v>
      </c>
      <c r="R87" s="2">
        <f>IF(O87&lt;70000, O87*0.05, IF(O87&lt;110000, 3500+(O87-70000)*0.15, 9500+(O87-110000)*0.25))</f>
        <v>0</v>
      </c>
      <c r="S87" s="2">
        <f>P87+Q87+R87</f>
        <v>0</v>
      </c>
      <c r="T87" s="2">
        <f>O87-S87</f>
        <v>0</v>
      </c>
    </row>
    <row r="88" spans="1:20">
      <c r="A88" t="s">
        <v>106</v>
      </c>
      <c r="B88" t="s">
        <v>206</v>
      </c>
      <c r="C88" t="s">
        <v>222</v>
      </c>
      <c r="D88" t="s">
        <v>226</v>
      </c>
      <c r="E88" t="s">
        <v>313</v>
      </c>
      <c r="F88" t="s">
        <v>326</v>
      </c>
      <c r="G88">
        <v>92614</v>
      </c>
      <c r="H88">
        <v>1.7</v>
      </c>
      <c r="I88" s="2">
        <f>G88*(H88/5)*0.1</f>
        <v>0</v>
      </c>
      <c r="J88">
        <v>12</v>
      </c>
      <c r="K88">
        <v>50</v>
      </c>
      <c r="L88" s="2">
        <f>J88*K88</f>
        <v>0</v>
      </c>
      <c r="M88">
        <v>2000</v>
      </c>
      <c r="N88">
        <v>500</v>
      </c>
      <c r="O88" s="2">
        <f>G88+I88+L88+M88+N88</f>
        <v>0</v>
      </c>
      <c r="P88" s="2">
        <f>G88*0.12</f>
        <v>0</v>
      </c>
      <c r="Q88" s="2">
        <f>IF(D88="Director", 1000, 500)</f>
        <v>0</v>
      </c>
      <c r="R88" s="2">
        <f>IF(O88&lt;70000, O88*0.05, IF(O88&lt;110000, 3500+(O88-70000)*0.15, 9500+(O88-110000)*0.25))</f>
        <v>0</v>
      </c>
      <c r="S88" s="2">
        <f>P88+Q88+R88</f>
        <v>0</v>
      </c>
      <c r="T88" s="2">
        <f>O88-S88</f>
        <v>0</v>
      </c>
    </row>
    <row r="89" spans="1:20">
      <c r="A89" t="s">
        <v>107</v>
      </c>
      <c r="B89" t="s">
        <v>207</v>
      </c>
      <c r="C89" t="s">
        <v>224</v>
      </c>
      <c r="D89" t="s">
        <v>227</v>
      </c>
      <c r="E89" t="s">
        <v>314</v>
      </c>
      <c r="F89" t="s">
        <v>326</v>
      </c>
      <c r="G89">
        <v>120237</v>
      </c>
      <c r="H89">
        <v>4.6</v>
      </c>
      <c r="I89" s="2">
        <f>G89*(H89/5)*0.1</f>
        <v>0</v>
      </c>
      <c r="J89">
        <v>20</v>
      </c>
      <c r="K89">
        <v>70</v>
      </c>
      <c r="L89" s="2">
        <f>J89*K89</f>
        <v>0</v>
      </c>
      <c r="M89">
        <v>2000</v>
      </c>
      <c r="N89">
        <v>500</v>
      </c>
      <c r="O89" s="2">
        <f>G89+I89+L89+M89+N89</f>
        <v>0</v>
      </c>
      <c r="P89" s="2">
        <f>G89*0.12</f>
        <v>0</v>
      </c>
      <c r="Q89" s="2">
        <f>IF(D89="Director", 1000, 500)</f>
        <v>0</v>
      </c>
      <c r="R89" s="2">
        <f>IF(O89&lt;70000, O89*0.05, IF(O89&lt;110000, 3500+(O89-70000)*0.15, 9500+(O89-110000)*0.25))</f>
        <v>0</v>
      </c>
      <c r="S89" s="2">
        <f>P89+Q89+R89</f>
        <v>0</v>
      </c>
      <c r="T89" s="2">
        <f>O89-S89</f>
        <v>0</v>
      </c>
    </row>
    <row r="90" spans="1:20">
      <c r="A90" t="s">
        <v>108</v>
      </c>
      <c r="B90" t="s">
        <v>208</v>
      </c>
      <c r="C90" t="s">
        <v>222</v>
      </c>
      <c r="D90" t="s">
        <v>230</v>
      </c>
      <c r="E90" t="s">
        <v>315</v>
      </c>
      <c r="F90" t="s">
        <v>326</v>
      </c>
      <c r="G90">
        <v>71460</v>
      </c>
      <c r="H90">
        <v>3.8</v>
      </c>
      <c r="I90" s="2">
        <f>G90*(H90/5)*0.1</f>
        <v>0</v>
      </c>
      <c r="J90">
        <v>13</v>
      </c>
      <c r="K90">
        <v>50</v>
      </c>
      <c r="L90" s="2">
        <f>J90*K90</f>
        <v>0</v>
      </c>
      <c r="M90">
        <v>2000</v>
      </c>
      <c r="N90">
        <v>500</v>
      </c>
      <c r="O90" s="2">
        <f>G90+I90+L90+M90+N90</f>
        <v>0</v>
      </c>
      <c r="P90" s="2">
        <f>G90*0.12</f>
        <v>0</v>
      </c>
      <c r="Q90" s="2">
        <f>IF(D90="Director", 1000, 500)</f>
        <v>0</v>
      </c>
      <c r="R90" s="2">
        <f>IF(O90&lt;70000, O90*0.05, IF(O90&lt;110000, 3500+(O90-70000)*0.15, 9500+(O90-110000)*0.25))</f>
        <v>0</v>
      </c>
      <c r="S90" s="2">
        <f>P90+Q90+R90</f>
        <v>0</v>
      </c>
      <c r="T90" s="2">
        <f>O90-S90</f>
        <v>0</v>
      </c>
    </row>
    <row r="91" spans="1:20">
      <c r="A91" t="s">
        <v>109</v>
      </c>
      <c r="B91" t="s">
        <v>209</v>
      </c>
      <c r="C91" t="s">
        <v>225</v>
      </c>
      <c r="D91" t="s">
        <v>227</v>
      </c>
      <c r="E91" t="s">
        <v>316</v>
      </c>
      <c r="F91" t="s">
        <v>327</v>
      </c>
      <c r="G91">
        <v>50327</v>
      </c>
      <c r="H91">
        <v>4.4</v>
      </c>
      <c r="I91" s="2">
        <f>G91*(H91/5)*0.1</f>
        <v>0</v>
      </c>
      <c r="J91">
        <v>3</v>
      </c>
      <c r="K91">
        <v>50</v>
      </c>
      <c r="L91" s="2">
        <f>J91*K91</f>
        <v>0</v>
      </c>
      <c r="M91">
        <v>2000</v>
      </c>
      <c r="N91">
        <v>500</v>
      </c>
      <c r="O91" s="2">
        <f>G91+I91+L91+M91+N91</f>
        <v>0</v>
      </c>
      <c r="P91" s="2">
        <f>G91*0.12</f>
        <v>0</v>
      </c>
      <c r="Q91" s="2">
        <f>IF(D91="Director", 1000, 500)</f>
        <v>0</v>
      </c>
      <c r="R91" s="2">
        <f>IF(O91&lt;70000, O91*0.05, IF(O91&lt;110000, 3500+(O91-70000)*0.15, 9500+(O91-110000)*0.25))</f>
        <v>0</v>
      </c>
      <c r="S91" s="2">
        <f>P91+Q91+R91</f>
        <v>0</v>
      </c>
      <c r="T91" s="2">
        <f>O91-S91</f>
        <v>0</v>
      </c>
    </row>
    <row r="92" spans="1:20">
      <c r="A92" t="s">
        <v>110</v>
      </c>
      <c r="B92" t="s">
        <v>210</v>
      </c>
      <c r="C92" t="s">
        <v>224</v>
      </c>
      <c r="D92" t="s">
        <v>226</v>
      </c>
      <c r="E92" t="s">
        <v>313</v>
      </c>
      <c r="F92" t="s">
        <v>325</v>
      </c>
      <c r="G92">
        <v>110259</v>
      </c>
      <c r="H92">
        <v>4.4</v>
      </c>
      <c r="I92" s="2">
        <f>G92*(H92/5)*0.1</f>
        <v>0</v>
      </c>
      <c r="J92">
        <v>3</v>
      </c>
      <c r="K92">
        <v>38</v>
      </c>
      <c r="L92" s="2">
        <f>J92*K92</f>
        <v>0</v>
      </c>
      <c r="M92">
        <v>2000</v>
      </c>
      <c r="N92">
        <v>500</v>
      </c>
      <c r="O92" s="2">
        <f>G92+I92+L92+M92+N92</f>
        <v>0</v>
      </c>
      <c r="P92" s="2">
        <f>G92*0.12</f>
        <v>0</v>
      </c>
      <c r="Q92" s="2">
        <f>IF(D92="Director", 1000, 500)</f>
        <v>0</v>
      </c>
      <c r="R92" s="2">
        <f>IF(O92&lt;70000, O92*0.05, IF(O92&lt;110000, 3500+(O92-70000)*0.15, 9500+(O92-110000)*0.25))</f>
        <v>0</v>
      </c>
      <c r="S92" s="2">
        <f>P92+Q92+R92</f>
        <v>0</v>
      </c>
      <c r="T92" s="2">
        <f>O92-S92</f>
        <v>0</v>
      </c>
    </row>
    <row r="93" spans="1:20">
      <c r="A93" t="s">
        <v>111</v>
      </c>
      <c r="B93" t="s">
        <v>211</v>
      </c>
      <c r="C93" t="s">
        <v>225</v>
      </c>
      <c r="D93" t="s">
        <v>229</v>
      </c>
      <c r="E93" t="s">
        <v>317</v>
      </c>
      <c r="F93" t="s">
        <v>327</v>
      </c>
      <c r="G93">
        <v>51395</v>
      </c>
      <c r="H93">
        <v>1.5</v>
      </c>
      <c r="I93" s="2">
        <f>G93*(H93/5)*0.1</f>
        <v>0</v>
      </c>
      <c r="J93">
        <v>20</v>
      </c>
      <c r="K93">
        <v>32</v>
      </c>
      <c r="L93" s="2">
        <f>J93*K93</f>
        <v>0</v>
      </c>
      <c r="M93">
        <v>2000</v>
      </c>
      <c r="N93">
        <v>500</v>
      </c>
      <c r="O93" s="2">
        <f>G93+I93+L93+M93+N93</f>
        <v>0</v>
      </c>
      <c r="P93" s="2">
        <f>G93*0.12</f>
        <v>0</v>
      </c>
      <c r="Q93" s="2">
        <f>IF(D93="Director", 1000, 500)</f>
        <v>0</v>
      </c>
      <c r="R93" s="2">
        <f>IF(O93&lt;70000, O93*0.05, IF(O93&lt;110000, 3500+(O93-70000)*0.15, 9500+(O93-110000)*0.25))</f>
        <v>0</v>
      </c>
      <c r="S93" s="2">
        <f>P93+Q93+R93</f>
        <v>0</v>
      </c>
      <c r="T93" s="2">
        <f>O93-S93</f>
        <v>0</v>
      </c>
    </row>
    <row r="94" spans="1:20">
      <c r="A94" t="s">
        <v>112</v>
      </c>
      <c r="B94" t="s">
        <v>212</v>
      </c>
      <c r="C94" t="s">
        <v>221</v>
      </c>
      <c r="D94" t="s">
        <v>227</v>
      </c>
      <c r="E94" t="s">
        <v>318</v>
      </c>
      <c r="F94" t="s">
        <v>327</v>
      </c>
      <c r="G94">
        <v>51981</v>
      </c>
      <c r="H94">
        <v>4.1</v>
      </c>
      <c r="I94" s="2">
        <f>G94*(H94/5)*0.1</f>
        <v>0</v>
      </c>
      <c r="J94">
        <v>6</v>
      </c>
      <c r="K94">
        <v>47</v>
      </c>
      <c r="L94" s="2">
        <f>J94*K94</f>
        <v>0</v>
      </c>
      <c r="M94">
        <v>2000</v>
      </c>
      <c r="N94">
        <v>500</v>
      </c>
      <c r="O94" s="2">
        <f>G94+I94+L94+M94+N94</f>
        <v>0</v>
      </c>
      <c r="P94" s="2">
        <f>G94*0.12</f>
        <v>0</v>
      </c>
      <c r="Q94" s="2">
        <f>IF(D94="Director", 1000, 500)</f>
        <v>0</v>
      </c>
      <c r="R94" s="2">
        <f>IF(O94&lt;70000, O94*0.05, IF(O94&lt;110000, 3500+(O94-70000)*0.15, 9500+(O94-110000)*0.25))</f>
        <v>0</v>
      </c>
      <c r="S94" s="2">
        <f>P94+Q94+R94</f>
        <v>0</v>
      </c>
      <c r="T94" s="2">
        <f>O94-S94</f>
        <v>0</v>
      </c>
    </row>
    <row r="95" spans="1:20">
      <c r="A95" t="s">
        <v>113</v>
      </c>
      <c r="B95" t="s">
        <v>213</v>
      </c>
      <c r="C95" t="s">
        <v>225</v>
      </c>
      <c r="D95" t="s">
        <v>228</v>
      </c>
      <c r="E95" t="s">
        <v>319</v>
      </c>
      <c r="F95" t="s">
        <v>325</v>
      </c>
      <c r="G95">
        <v>70878</v>
      </c>
      <c r="H95">
        <v>2.8</v>
      </c>
      <c r="I95" s="2">
        <f>G95*(H95/5)*0.1</f>
        <v>0</v>
      </c>
      <c r="J95">
        <v>9</v>
      </c>
      <c r="K95">
        <v>65</v>
      </c>
      <c r="L95" s="2">
        <f>J95*K95</f>
        <v>0</v>
      </c>
      <c r="M95">
        <v>2000</v>
      </c>
      <c r="N95">
        <v>500</v>
      </c>
      <c r="O95" s="2">
        <f>G95+I95+L95+M95+N95</f>
        <v>0</v>
      </c>
      <c r="P95" s="2">
        <f>G95*0.12</f>
        <v>0</v>
      </c>
      <c r="Q95" s="2">
        <f>IF(D95="Director", 1000, 500)</f>
        <v>0</v>
      </c>
      <c r="R95" s="2">
        <f>IF(O95&lt;70000, O95*0.05, IF(O95&lt;110000, 3500+(O95-70000)*0.15, 9500+(O95-110000)*0.25))</f>
        <v>0</v>
      </c>
      <c r="S95" s="2">
        <f>P95+Q95+R95</f>
        <v>0</v>
      </c>
      <c r="T95" s="2">
        <f>O95-S95</f>
        <v>0</v>
      </c>
    </row>
    <row r="96" spans="1:20">
      <c r="A96" t="s">
        <v>114</v>
      </c>
      <c r="B96" t="s">
        <v>214</v>
      </c>
      <c r="C96" t="s">
        <v>225</v>
      </c>
      <c r="D96" t="s">
        <v>228</v>
      </c>
      <c r="E96" t="s">
        <v>320</v>
      </c>
      <c r="F96" t="s">
        <v>326</v>
      </c>
      <c r="G96">
        <v>82176</v>
      </c>
      <c r="H96">
        <v>3.3</v>
      </c>
      <c r="I96" s="2">
        <f>G96*(H96/5)*0.1</f>
        <v>0</v>
      </c>
      <c r="J96">
        <v>17</v>
      </c>
      <c r="K96">
        <v>39</v>
      </c>
      <c r="L96" s="2">
        <f>J96*K96</f>
        <v>0</v>
      </c>
      <c r="M96">
        <v>2000</v>
      </c>
      <c r="N96">
        <v>500</v>
      </c>
      <c r="O96" s="2">
        <f>G96+I96+L96+M96+N96</f>
        <v>0</v>
      </c>
      <c r="P96" s="2">
        <f>G96*0.12</f>
        <v>0</v>
      </c>
      <c r="Q96" s="2">
        <f>IF(D96="Director", 1000, 500)</f>
        <v>0</v>
      </c>
      <c r="R96" s="2">
        <f>IF(O96&lt;70000, O96*0.05, IF(O96&lt;110000, 3500+(O96-70000)*0.15, 9500+(O96-110000)*0.25))</f>
        <v>0</v>
      </c>
      <c r="S96" s="2">
        <f>P96+Q96+R96</f>
        <v>0</v>
      </c>
      <c r="T96" s="2">
        <f>O96-S96</f>
        <v>0</v>
      </c>
    </row>
    <row r="97" spans="1:20">
      <c r="A97" t="s">
        <v>115</v>
      </c>
      <c r="B97" t="s">
        <v>215</v>
      </c>
      <c r="C97" t="s">
        <v>221</v>
      </c>
      <c r="D97" t="s">
        <v>227</v>
      </c>
      <c r="E97" t="s">
        <v>321</v>
      </c>
      <c r="F97" t="s">
        <v>325</v>
      </c>
      <c r="G97">
        <v>66398</v>
      </c>
      <c r="H97">
        <v>3</v>
      </c>
      <c r="I97" s="2">
        <f>G97*(H97/5)*0.1</f>
        <v>0</v>
      </c>
      <c r="J97">
        <v>4</v>
      </c>
      <c r="K97">
        <v>50</v>
      </c>
      <c r="L97" s="2">
        <f>J97*K97</f>
        <v>0</v>
      </c>
      <c r="M97">
        <v>2000</v>
      </c>
      <c r="N97">
        <v>500</v>
      </c>
      <c r="O97" s="2">
        <f>G97+I97+L97+M97+N97</f>
        <v>0</v>
      </c>
      <c r="P97" s="2">
        <f>G97*0.12</f>
        <v>0</v>
      </c>
      <c r="Q97" s="2">
        <f>IF(D97="Director", 1000, 500)</f>
        <v>0</v>
      </c>
      <c r="R97" s="2">
        <f>IF(O97&lt;70000, O97*0.05, IF(O97&lt;110000, 3500+(O97-70000)*0.15, 9500+(O97-110000)*0.25))</f>
        <v>0</v>
      </c>
      <c r="S97" s="2">
        <f>P97+Q97+R97</f>
        <v>0</v>
      </c>
      <c r="T97" s="2">
        <f>O97-S97</f>
        <v>0</v>
      </c>
    </row>
    <row r="98" spans="1:20">
      <c r="A98" t="s">
        <v>116</v>
      </c>
      <c r="B98" t="s">
        <v>216</v>
      </c>
      <c r="C98" t="s">
        <v>221</v>
      </c>
      <c r="D98" t="s">
        <v>228</v>
      </c>
      <c r="E98" t="s">
        <v>322</v>
      </c>
      <c r="F98" t="s">
        <v>327</v>
      </c>
      <c r="G98">
        <v>100305</v>
      </c>
      <c r="H98">
        <v>4.2</v>
      </c>
      <c r="I98" s="2">
        <f>G98*(H98/5)*0.1</f>
        <v>0</v>
      </c>
      <c r="J98">
        <v>4</v>
      </c>
      <c r="K98">
        <v>36</v>
      </c>
      <c r="L98" s="2">
        <f>J98*K98</f>
        <v>0</v>
      </c>
      <c r="M98">
        <v>2000</v>
      </c>
      <c r="N98">
        <v>500</v>
      </c>
      <c r="O98" s="2">
        <f>G98+I98+L98+M98+N98</f>
        <v>0</v>
      </c>
      <c r="P98" s="2">
        <f>G98*0.12</f>
        <v>0</v>
      </c>
      <c r="Q98" s="2">
        <f>IF(D98="Director", 1000, 500)</f>
        <v>0</v>
      </c>
      <c r="R98" s="2">
        <f>IF(O98&lt;70000, O98*0.05, IF(O98&lt;110000, 3500+(O98-70000)*0.15, 9500+(O98-110000)*0.25))</f>
        <v>0</v>
      </c>
      <c r="S98" s="2">
        <f>P98+Q98+R98</f>
        <v>0</v>
      </c>
      <c r="T98" s="2">
        <f>O98-S98</f>
        <v>0</v>
      </c>
    </row>
    <row r="99" spans="1:20">
      <c r="A99" t="s">
        <v>117</v>
      </c>
      <c r="B99" t="s">
        <v>217</v>
      </c>
      <c r="C99" t="s">
        <v>222</v>
      </c>
      <c r="D99" t="s">
        <v>228</v>
      </c>
      <c r="E99" t="s">
        <v>323</v>
      </c>
      <c r="F99" t="s">
        <v>327</v>
      </c>
      <c r="G99">
        <v>148634</v>
      </c>
      <c r="H99">
        <v>1.5</v>
      </c>
      <c r="I99" s="2">
        <f>G99*(H99/5)*0.1</f>
        <v>0</v>
      </c>
      <c r="J99">
        <v>15</v>
      </c>
      <c r="K99">
        <v>73</v>
      </c>
      <c r="L99" s="2">
        <f>J99*K99</f>
        <v>0</v>
      </c>
      <c r="M99">
        <v>2000</v>
      </c>
      <c r="N99">
        <v>500</v>
      </c>
      <c r="O99" s="2">
        <f>G99+I99+L99+M99+N99</f>
        <v>0</v>
      </c>
      <c r="P99" s="2">
        <f>G99*0.12</f>
        <v>0</v>
      </c>
      <c r="Q99" s="2">
        <f>IF(D99="Director", 1000, 500)</f>
        <v>0</v>
      </c>
      <c r="R99" s="2">
        <f>IF(O99&lt;70000, O99*0.05, IF(O99&lt;110000, 3500+(O99-70000)*0.15, 9500+(O99-110000)*0.25))</f>
        <v>0</v>
      </c>
      <c r="S99" s="2">
        <f>P99+Q99+R99</f>
        <v>0</v>
      </c>
      <c r="T99" s="2">
        <f>O99-S99</f>
        <v>0</v>
      </c>
    </row>
    <row r="100" spans="1:20">
      <c r="A100" t="s">
        <v>118</v>
      </c>
      <c r="B100" t="s">
        <v>218</v>
      </c>
      <c r="C100" t="s">
        <v>221</v>
      </c>
      <c r="D100" t="s">
        <v>229</v>
      </c>
      <c r="E100" t="s">
        <v>237</v>
      </c>
      <c r="F100" t="s">
        <v>326</v>
      </c>
      <c r="G100">
        <v>118193</v>
      </c>
      <c r="H100">
        <v>4.5</v>
      </c>
      <c r="I100" s="2">
        <f>G100*(H100/5)*0.1</f>
        <v>0</v>
      </c>
      <c r="J100">
        <v>14</v>
      </c>
      <c r="K100">
        <v>41</v>
      </c>
      <c r="L100" s="2">
        <f>J100*K100</f>
        <v>0</v>
      </c>
      <c r="M100">
        <v>2000</v>
      </c>
      <c r="N100">
        <v>500</v>
      </c>
      <c r="O100" s="2">
        <f>G100+I100+L100+M100+N100</f>
        <v>0</v>
      </c>
      <c r="P100" s="2">
        <f>G100*0.12</f>
        <v>0</v>
      </c>
      <c r="Q100" s="2">
        <f>IF(D100="Director", 1000, 500)</f>
        <v>0</v>
      </c>
      <c r="R100" s="2">
        <f>IF(O100&lt;70000, O100*0.05, IF(O100&lt;110000, 3500+(O100-70000)*0.15, 9500+(O100-110000)*0.25))</f>
        <v>0</v>
      </c>
      <c r="S100" s="2">
        <f>P100+Q100+R100</f>
        <v>0</v>
      </c>
      <c r="T100" s="2">
        <f>O100-S100</f>
        <v>0</v>
      </c>
    </row>
    <row r="101" spans="1:20">
      <c r="A101" t="s">
        <v>119</v>
      </c>
      <c r="B101" t="s">
        <v>219</v>
      </c>
      <c r="C101" t="s">
        <v>222</v>
      </c>
      <c r="D101" t="s">
        <v>228</v>
      </c>
      <c r="E101" t="s">
        <v>324</v>
      </c>
      <c r="F101" t="s">
        <v>327</v>
      </c>
      <c r="G101">
        <v>85244</v>
      </c>
      <c r="H101">
        <v>1.5</v>
      </c>
      <c r="I101" s="2">
        <f>G101*(H101/5)*0.1</f>
        <v>0</v>
      </c>
      <c r="J101">
        <v>20</v>
      </c>
      <c r="K101">
        <v>66</v>
      </c>
      <c r="L101" s="2">
        <f>J101*K101</f>
        <v>0</v>
      </c>
      <c r="M101">
        <v>2000</v>
      </c>
      <c r="N101">
        <v>500</v>
      </c>
      <c r="O101" s="2">
        <f>G101+I101+L101+M101+N101</f>
        <v>0</v>
      </c>
      <c r="P101" s="2">
        <f>G101*0.12</f>
        <v>0</v>
      </c>
      <c r="Q101" s="2">
        <f>IF(D101="Director", 1000, 500)</f>
        <v>0</v>
      </c>
      <c r="R101" s="2">
        <f>IF(O101&lt;70000, O101*0.05, IF(O101&lt;110000, 3500+(O101-70000)*0.15, 9500+(O101-110000)*0.25))</f>
        <v>0</v>
      </c>
      <c r="S101" s="2">
        <f>P101+Q101+R101</f>
        <v>0</v>
      </c>
      <c r="T101" s="2">
        <f>O101-S101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2026-03-25T09:59:40Z</dcterms:created>
  <dcterms:modified xsi:type="dcterms:W3CDTF">2026-03-25T09:59:40Z</dcterms:modified>
</cp:coreProperties>
</file>